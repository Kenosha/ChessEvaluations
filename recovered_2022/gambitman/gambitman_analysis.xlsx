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<sst xmlns="http://schemas.openxmlformats.org/spreadsheetml/2006/main" count="146" uniqueCount="92">
  <si>
    <t>Tournament</t>
  </si>
  <si>
    <t>TPR</t>
  </si>
  <si>
    <t>Results</t>
  </si>
  <si>
    <t>%</t>
  </si>
  <si>
    <t>13th Foxwoods Open</t>
  </si>
  <si>
    <t>link</t>
  </si>
  <si>
    <t>ch-USA Cadet 2019</t>
  </si>
  <si>
    <t>47th Annual World Open</t>
  </si>
  <si>
    <t>ch-USA Junior 2019</t>
  </si>
  <si>
    <t>2396</t>
  </si>
  <si>
    <t>13th Philadelphia Int</t>
  </si>
  <si>
    <t>US Chess Masters 2019</t>
  </si>
  <si>
    <t>World Youth Open U16 2019</t>
  </si>
  <si>
    <t>103rd ch-Marshall CC 2019</t>
  </si>
  <si>
    <t>29th North American Open</t>
  </si>
  <si>
    <t>Marshall GM Norm 2020</t>
  </si>
  <si>
    <t>SPICE Cup Open 2020</t>
  </si>
  <si>
    <t>CCCSA Fall Invitational 2020</t>
  </si>
  <si>
    <t>2658</t>
  </si>
  <si>
    <t>US Class Master 2020</t>
  </si>
  <si>
    <t>7th Sunway Sitges 2020</t>
  </si>
  <si>
    <t>2560</t>
  </si>
  <si>
    <t>5th Vergani Cup Dec 2020</t>
  </si>
  <si>
    <t>2524</t>
  </si>
  <si>
    <t>5th Vergani Cup Jan 2021</t>
  </si>
  <si>
    <t>2627</t>
  </si>
  <si>
    <t>Paracin Winter GM 2021</t>
  </si>
  <si>
    <t>2599</t>
  </si>
  <si>
    <t>Paracin Orbis 1 GM 202</t>
  </si>
  <si>
    <t>2501</t>
  </si>
  <si>
    <t>RADNICKICHESS T2R-GM 2021</t>
  </si>
  <si>
    <t>2528</t>
  </si>
  <si>
    <t>Corrected R7 game score 22-10-06</t>
  </si>
  <si>
    <t>Third Sat Mix 157 2021</t>
  </si>
  <si>
    <t>2438</t>
  </si>
  <si>
    <t>1st Spring Weekend 2021</t>
  </si>
  <si>
    <t>2458</t>
  </si>
  <si>
    <t>First GM Mix Bassano 2021</t>
  </si>
  <si>
    <t>2562</t>
  </si>
  <si>
    <t>2nd GM Mix Bassano 2021</t>
  </si>
  <si>
    <t>1st Easter Bassano Open A</t>
  </si>
  <si>
    <t>2554</t>
  </si>
  <si>
    <t>Third Sat Mix 200 2021</t>
  </si>
  <si>
    <t>2664</t>
  </si>
  <si>
    <t>Vladimir Bato Kontic Mem</t>
  </si>
  <si>
    <t>2563</t>
  </si>
  <si>
    <t>Niksic Mem 2021</t>
  </si>
  <si>
    <t>2700</t>
  </si>
  <si>
    <t>National Open 2021</t>
  </si>
  <si>
    <t>14th Philadelphia Int</t>
  </si>
  <si>
    <t>49th Annual World Open</t>
  </si>
  <si>
    <t>ch-USA Junior 2021</t>
  </si>
  <si>
    <t>2609</t>
  </si>
  <si>
    <t>121st US Open 2021</t>
  </si>
  <si>
    <t>2nd Tras-os-Montes Open</t>
  </si>
  <si>
    <t>2535</t>
  </si>
  <si>
    <t>Guimaraes Open 2021</t>
  </si>
  <si>
    <t>2647</t>
  </si>
  <si>
    <t>TCh-SRB Premier 2021</t>
  </si>
  <si>
    <t>4th Sharjah Masters 2021</t>
  </si>
  <si>
    <t>Junior U21 Round Table Op</t>
  </si>
  <si>
    <t>2568</t>
  </si>
  <si>
    <t>FIDE Grand Swiss 2021</t>
  </si>
  <si>
    <t>2653</t>
  </si>
  <si>
    <t>President of UZB Prizes</t>
  </si>
  <si>
    <t>2687</t>
  </si>
  <si>
    <t>8th Sunway Sitges 2021</t>
  </si>
  <si>
    <t>2613</t>
  </si>
  <si>
    <t>Vergani Cup Jan 2022</t>
  </si>
  <si>
    <t>2633</t>
  </si>
  <si>
    <t>St Louis Spring A</t>
  </si>
  <si>
    <t>2762</t>
  </si>
  <si>
    <t>Kvika Reykjavik Open 2022</t>
  </si>
  <si>
    <t>2582</t>
  </si>
  <si>
    <t>55th Capablanca Mem Elite</t>
  </si>
  <si>
    <t>2857</t>
  </si>
  <si>
    <t>27th Sigeman &amp; Co 2022</t>
  </si>
  <si>
    <t>2842</t>
  </si>
  <si>
    <t>5th Sharjah Masters 2022</t>
  </si>
  <si>
    <t>2712</t>
  </si>
  <si>
    <t>4th Prague Challengers</t>
  </si>
  <si>
    <t>2766</t>
  </si>
  <si>
    <t>Stepan Avagyan Mem 2022</t>
  </si>
  <si>
    <t>2621</t>
  </si>
  <si>
    <t>Bundesliga 2021-22</t>
  </si>
  <si>
    <t>TCh-TUR Super League 2022</t>
  </si>
  <si>
    <t>2699</t>
  </si>
  <si>
    <t>2022 Sinquefield Cup, St Louis</t>
  </si>
  <si>
    <t>2022 US Championship, St Louis</t>
  </si>
  <si>
    <t>games2</t>
  </si>
  <si>
    <t>2022 Elllobregat Open</t>
  </si>
  <si>
    <t>2675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</si>
</sst>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rgb="FF0000FF"/>
    </font>
    <font>
      <b/>
      <u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theme="5"/>
      <name val="Arial"/>
      <scheme val="minor"/>
    </font>
    <font>
      <color rgb="FFFF0000"/>
      <name val="Arial"/>
      <scheme val="minor"/>
    </font>
    <font>
      <u/>
      <color rgb="FF0000FF"/>
      <name val="Arial"/>
    </font>
    <font>
      <color theme="1"/>
      <name val="Arial"/>
    </font>
    <font>
      <u/>
      <color rgb="FF0000FF"/>
    </font>
    <font>
      <u/>
      <color rgb="FF0000FF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49" xfId="0" applyAlignment="1" applyFont="1" applyNumberFormat="1">
      <alignment horizontal="center"/>
    </xf>
    <xf borderId="0" fillId="0" fontId="7" numFmtId="4" xfId="0" applyAlignment="1" applyFont="1" applyNumberFormat="1">
      <alignment horizontal="center" readingOrder="0"/>
    </xf>
    <xf borderId="0" fillId="0" fontId="8" numFmtId="4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6" numFmtId="4" xfId="0" applyAlignment="1" applyFont="1" applyNumberFormat="1">
      <alignment horizontal="center" readingOrder="0"/>
    </xf>
    <xf borderId="0" fillId="0" fontId="6" numFmtId="49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 vertical="bottom"/>
    </xf>
    <xf borderId="0" fillId="0" fontId="12" numFmtId="49" xfId="0" applyAlignment="1" applyFont="1" applyNumberFormat="1">
      <alignment horizontal="center" vertical="bottom"/>
    </xf>
    <xf borderId="0" fillId="0" fontId="13" numFmtId="0" xfId="0" applyAlignment="1" applyFont="1">
      <alignment horizontal="center" readingOrder="0"/>
    </xf>
    <xf borderId="0" fillId="0" fontId="14" numFmtId="49" xfId="0" applyAlignment="1" applyFont="1" applyNumberFormat="1">
      <alignment horizontal="center" readingOrder="0"/>
    </xf>
    <xf borderId="0" fillId="0" fontId="12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view.chessbase.com/cbreader/2022/9/10/Game229355843.html" TargetMode="External"/><Relationship Id="rId42" Type="http://schemas.openxmlformats.org/officeDocument/2006/relationships/hyperlink" Target="http://view.chessbase.com/cbreader/2022/9/10/Game229978921.html" TargetMode="External"/><Relationship Id="rId41" Type="http://schemas.openxmlformats.org/officeDocument/2006/relationships/hyperlink" Target="https://theweekinchess.com/html/twic1375.html" TargetMode="External"/><Relationship Id="rId44" Type="http://schemas.openxmlformats.org/officeDocument/2006/relationships/hyperlink" Target="http://view.chessbase.com/cbreader/2022/9/10/Game230190625.html" TargetMode="External"/><Relationship Id="rId43" Type="http://schemas.openxmlformats.org/officeDocument/2006/relationships/hyperlink" Target="http://chess-results.com/tnr546467.aspx?lan=1&amp;art=9&amp;fed=USA&amp;turdet=YES&amp;flag=30&amp;snr=1" TargetMode="External"/><Relationship Id="rId46" Type="http://schemas.openxmlformats.org/officeDocument/2006/relationships/hyperlink" Target="http://view.chessbase.com/cbreader/2022/9/10/Game230421437.html" TargetMode="External"/><Relationship Id="rId45" Type="http://schemas.openxmlformats.org/officeDocument/2006/relationships/hyperlink" Target="https://theweekinchess.com/html/twic1377.html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chess-results.com/tnr636420.aspx?lan=1&amp;art=4&amp;turdet=YES&amp;flag=30&amp;zeilen=99999" TargetMode="External"/><Relationship Id="rId104" Type="http://schemas.openxmlformats.org/officeDocument/2006/relationships/hyperlink" Target="http://view.chessbase.com/cbreader/2023/4/14/Game197118968.html" TargetMode="External"/><Relationship Id="rId48" Type="http://schemas.openxmlformats.org/officeDocument/2006/relationships/hyperlink" Target="http://view.chessbase.com/cbreader/2022/9/10/Game230669828.html" TargetMode="External"/><Relationship Id="rId47" Type="http://schemas.openxmlformats.org/officeDocument/2006/relationships/hyperlink" Target="http://chess-results.com/tnr554339.aspx?lan=1&amp;art=9&amp;fed=USA&amp;flag=30&amp;snr=9" TargetMode="External"/><Relationship Id="rId49" Type="http://schemas.openxmlformats.org/officeDocument/2006/relationships/hyperlink" Target="http://chess-results.com/tnr549890.aspx?lan=1&amp;art=9&amp;fed=USA&amp;turdet=YES&amp;flag=30&amp;snr=4" TargetMode="External"/><Relationship Id="rId103" Type="http://schemas.openxmlformats.org/officeDocument/2006/relationships/hyperlink" Target="https://theweekinchess.com/chessnews/events/us-chess-championship-2022" TargetMode="External"/><Relationship Id="rId102" Type="http://schemas.openxmlformats.org/officeDocument/2006/relationships/hyperlink" Target="http://view.chessbase.com/cbreader/2022/10/23/Game125281328.html" TargetMode="External"/><Relationship Id="rId101" Type="http://schemas.openxmlformats.org/officeDocument/2006/relationships/hyperlink" Target="http://view.chessbase.com/cbreader/2022/10/23/Game125297953.html" TargetMode="External"/><Relationship Id="rId100" Type="http://schemas.openxmlformats.org/officeDocument/2006/relationships/hyperlink" Target="https://theweekinchess.com/chessnews/events/9th-sinquefield-cup-2022" TargetMode="External"/><Relationship Id="rId31" Type="http://schemas.openxmlformats.org/officeDocument/2006/relationships/hyperlink" Target="http://chess-results.com/tnr532844.aspx?lan=1&amp;art=9&amp;fed=USA&amp;turdet=YES&amp;flag=30&amp;snr=12" TargetMode="External"/><Relationship Id="rId30" Type="http://schemas.openxmlformats.org/officeDocument/2006/relationships/hyperlink" Target="http://view.chessbase.com/cbreader/2022/9/9/Game141087437.html" TargetMode="External"/><Relationship Id="rId33" Type="http://schemas.openxmlformats.org/officeDocument/2006/relationships/hyperlink" Target="http://chess-results.com/tnr538966.aspx?lan=1&amp;art=9&amp;fed=USA&amp;turdet=YES&amp;flag=30&amp;snr=4" TargetMode="External"/><Relationship Id="rId32" Type="http://schemas.openxmlformats.org/officeDocument/2006/relationships/hyperlink" Target="http://view.chessbase.com/cbreader/2022/9/10/Game146752531.html" TargetMode="External"/><Relationship Id="rId35" Type="http://schemas.openxmlformats.org/officeDocument/2006/relationships/hyperlink" Target="http://chess-results.com/tnr538971.aspx?lan=1&amp;art=9&amp;fed=USA&amp;turdet=YES&amp;flag=30&amp;snr=1" TargetMode="External"/><Relationship Id="rId34" Type="http://schemas.openxmlformats.org/officeDocument/2006/relationships/hyperlink" Target="http://view.chessbase.com/cbreader/2022/9/10/Game152550390.html" TargetMode="External"/><Relationship Id="rId37" Type="http://schemas.openxmlformats.org/officeDocument/2006/relationships/hyperlink" Target="http://chess-results.com/tnr546243.aspx?lan=1&amp;art=9&amp;fed=USA&amp;turdet=YES&amp;flag=30&amp;snr=8" TargetMode="External"/><Relationship Id="rId36" Type="http://schemas.openxmlformats.org/officeDocument/2006/relationships/hyperlink" Target="http://view.chessbase.com/cbreader/2022/10/6/Game422416703.html" TargetMode="External"/><Relationship Id="rId39" Type="http://schemas.openxmlformats.org/officeDocument/2006/relationships/hyperlink" Target="http://chess-results.com/tnr544435.aspx?lan=1&amp;art=9&amp;fed=USA&amp;turdet=YES&amp;flag=30&amp;snr=3" TargetMode="External"/><Relationship Id="rId38" Type="http://schemas.openxmlformats.org/officeDocument/2006/relationships/hyperlink" Target="http://view.chessbase.com/cbreader/2022/9/10/Game228875953.html" TargetMode="External"/><Relationship Id="rId20" Type="http://schemas.openxmlformats.org/officeDocument/2006/relationships/hyperlink" Target="http://view.chessbase.com/cbreader/2022/9/9/Game134332531.html" TargetMode="External"/><Relationship Id="rId22" Type="http://schemas.openxmlformats.org/officeDocument/2006/relationships/hyperlink" Target="http://view.chessbase.com/cbreader/2022/9/13/Game53102421.html" TargetMode="External"/><Relationship Id="rId21" Type="http://schemas.openxmlformats.org/officeDocument/2006/relationships/hyperlink" Target="https://theweekinchess.com/html/twic1355.html" TargetMode="External"/><Relationship Id="rId24" Type="http://schemas.openxmlformats.org/officeDocument/2006/relationships/hyperlink" Target="http://view.chessbase.com/cbreader/2022/9/9/Game139111671.html" TargetMode="External"/><Relationship Id="rId23" Type="http://schemas.openxmlformats.org/officeDocument/2006/relationships/hyperlink" Target="https://theweekinchess.com/html/twic1352.html" TargetMode="External"/><Relationship Id="rId26" Type="http://schemas.openxmlformats.org/officeDocument/2006/relationships/hyperlink" Target="http://view.chessbase.com/cbreader/2022/9/9/Game138956187.html" TargetMode="External"/><Relationship Id="rId25" Type="http://schemas.openxmlformats.org/officeDocument/2006/relationships/hyperlink" Target="https://theweekinchess.com/html/twic1357.html" TargetMode="External"/><Relationship Id="rId28" Type="http://schemas.openxmlformats.org/officeDocument/2006/relationships/hyperlink" Target="http://view.chessbase.com/cbreader/2022/9/9/Game140955796.html" TargetMode="External"/><Relationship Id="rId27" Type="http://schemas.openxmlformats.org/officeDocument/2006/relationships/hyperlink" Target="http://chess-results.com/tnr537209.aspx?lan=1&amp;art=9&amp;fed=USA&amp;turdet=YES&amp;flag=30&amp;snr=24" TargetMode="External"/><Relationship Id="rId29" Type="http://schemas.openxmlformats.org/officeDocument/2006/relationships/hyperlink" Target="http://chess-results.com/tnr544564.aspx?lan=1&amp;art=9&amp;fed=USA&amp;turdet=YES&amp;flag=30&amp;snr=9" TargetMode="External"/><Relationship Id="rId95" Type="http://schemas.openxmlformats.org/officeDocument/2006/relationships/hyperlink" Target="http://chess-results.com/tnr644356.aspx?lan=1&amp;art=9&amp;fed=USA&amp;flag=30&amp;snr=10" TargetMode="External"/><Relationship Id="rId94" Type="http://schemas.openxmlformats.org/officeDocument/2006/relationships/hyperlink" Target="http://view.chessbase.com/cbreader/2022/9/25/Game36670218.html" TargetMode="External"/><Relationship Id="rId97" Type="http://schemas.openxmlformats.org/officeDocument/2006/relationships/hyperlink" Target="http://view.chessbase.com/cbreader/2022/9/25/Game36688546.html" TargetMode="External"/><Relationship Id="rId96" Type="http://schemas.openxmlformats.org/officeDocument/2006/relationships/hyperlink" Target="http://view.chessbase.com/cbreader/2022/9/25/Game36680125.html" TargetMode="External"/><Relationship Id="rId11" Type="http://schemas.openxmlformats.org/officeDocument/2006/relationships/hyperlink" Target="http://chess-results.com/tnr462572.aspx?lan=1&amp;art=9&amp;fed=USA&amp;snr=28" TargetMode="External"/><Relationship Id="rId99" Type="http://schemas.openxmlformats.org/officeDocument/2006/relationships/hyperlink" Target="http://view.chessbase.com/cbreader/2022/9/11/Game315618468.html" TargetMode="External"/><Relationship Id="rId10" Type="http://schemas.openxmlformats.org/officeDocument/2006/relationships/hyperlink" Target="http://view.chessbase.com/cbreader/2022/9/11/Game235538562.html" TargetMode="External"/><Relationship Id="rId98" Type="http://schemas.openxmlformats.org/officeDocument/2006/relationships/hyperlink" Target="http://chess-results.com/tnr666246.aspx?lan=1&amp;art=9&amp;snr=5" TargetMode="External"/><Relationship Id="rId13" Type="http://schemas.openxmlformats.org/officeDocument/2006/relationships/hyperlink" Target="http://chess-results.com/tnr470708.aspx?lan=1&amp;art=9&amp;fed=USA&amp;turdet=YES&amp;flag=30&amp;snr=1" TargetMode="External"/><Relationship Id="rId12" Type="http://schemas.openxmlformats.org/officeDocument/2006/relationships/hyperlink" Target="http://view.chessbase.com/cbreader/2022/9/11/Game235247546.html" TargetMode="External"/><Relationship Id="rId91" Type="http://schemas.openxmlformats.org/officeDocument/2006/relationships/hyperlink" Target="http://chess-results.com/tnr617267.aspx?lan=1&amp;art=9&amp;fed=USA&amp;flag=30&amp;snr=10" TargetMode="External"/><Relationship Id="rId90" Type="http://schemas.openxmlformats.org/officeDocument/2006/relationships/hyperlink" Target="http://view.chessbase.com/cbreader/2022/9/25/Game36645625.html" TargetMode="External"/><Relationship Id="rId93" Type="http://schemas.openxmlformats.org/officeDocument/2006/relationships/hyperlink" Target="http://chess-results.com/tnr645709.aspx?lan=1&amp;art=9&amp;fed=USA&amp;turdet=YES&amp;flag=30&amp;snr=4" TargetMode="External"/><Relationship Id="rId92" Type="http://schemas.openxmlformats.org/officeDocument/2006/relationships/hyperlink" Target="http://view.chessbase.com/cbreader/2022/9/25/Game36662234.html" TargetMode="External"/><Relationship Id="rId15" Type="http://schemas.openxmlformats.org/officeDocument/2006/relationships/hyperlink" Target="https://theweekinchess.com/html/twic1307.html" TargetMode="External"/><Relationship Id="rId14" Type="http://schemas.openxmlformats.org/officeDocument/2006/relationships/hyperlink" Target="http://view.chessbase.com/cbreader/2022/9/11/Game234967687.html" TargetMode="External"/><Relationship Id="rId17" Type="http://schemas.openxmlformats.org/officeDocument/2006/relationships/hyperlink" Target="https://theweekinchess.com/html/twic1313.html" TargetMode="External"/><Relationship Id="rId16" Type="http://schemas.openxmlformats.org/officeDocument/2006/relationships/hyperlink" Target="http://view.chessbase.com/cbreader/2022/9/11/Game234871468.html" TargetMode="External"/><Relationship Id="rId19" Type="http://schemas.openxmlformats.org/officeDocument/2006/relationships/hyperlink" Target="https://theweekinchess.com/html/twic1321.html" TargetMode="External"/><Relationship Id="rId18" Type="http://schemas.openxmlformats.org/officeDocument/2006/relationships/hyperlink" Target="http://view.chessbase.com/cbreader/2022/9/11/Game234459875.html" TargetMode="External"/><Relationship Id="rId84" Type="http://schemas.openxmlformats.org/officeDocument/2006/relationships/hyperlink" Target="http://view.chessbase.com/cbreader/2022/9/25/Game36583281.html" TargetMode="External"/><Relationship Id="rId83" Type="http://schemas.openxmlformats.org/officeDocument/2006/relationships/hyperlink" Target="https://theweekinchess.com/html/twic1427.html" TargetMode="External"/><Relationship Id="rId86" Type="http://schemas.openxmlformats.org/officeDocument/2006/relationships/hyperlink" Target="http://view.chessbase.com/cbreader/2022/9/25/Game36593843.html" TargetMode="External"/><Relationship Id="rId85" Type="http://schemas.openxmlformats.org/officeDocument/2006/relationships/hyperlink" Target="http://chess-results.com/tnr599063.aspx?lan=1&amp;art=9&amp;fed=USA&amp;flag=30&amp;snr=3" TargetMode="External"/><Relationship Id="rId88" Type="http://schemas.openxmlformats.org/officeDocument/2006/relationships/hyperlink" Target="http://view.chessbase.com/cbreader/2022/9/25/Game36636031.html" TargetMode="External"/><Relationship Id="rId87" Type="http://schemas.openxmlformats.org/officeDocument/2006/relationships/hyperlink" Target="http://chess-results.com/tnr629945.aspx?lan=1&amp;art=9&amp;fed=USA&amp;flag=30&amp;snr=5" TargetMode="External"/><Relationship Id="rId89" Type="http://schemas.openxmlformats.org/officeDocument/2006/relationships/hyperlink" Target="http://chess-results.com/tnr632384.aspx?lan=1&amp;art=9&amp;fed=USA&amp;turdet=YES&amp;flag=30&amp;snr=3" TargetMode="External"/><Relationship Id="rId80" Type="http://schemas.openxmlformats.org/officeDocument/2006/relationships/hyperlink" Target="http://view.chessbase.com/cbreader/2022/9/25/Game36565531.html" TargetMode="External"/><Relationship Id="rId82" Type="http://schemas.openxmlformats.org/officeDocument/2006/relationships/hyperlink" Target="http://view.chessbase.com/cbreader/2022/9/25/Game36573750.html" TargetMode="External"/><Relationship Id="rId81" Type="http://schemas.openxmlformats.org/officeDocument/2006/relationships/hyperlink" Target="http://chess-results.com/tnr574640.aspx?lan=1&amp;art=9&amp;fed=USA&amp;turdet=YES&amp;flag=30&amp;snr=2" TargetMode="External"/><Relationship Id="rId1" Type="http://schemas.openxmlformats.org/officeDocument/2006/relationships/hyperlink" Target="http://chess-results.com/SpielerSuche.aspx?lan=1" TargetMode="External"/><Relationship Id="rId2" Type="http://schemas.openxmlformats.org/officeDocument/2006/relationships/hyperlink" Target="http://view.chessbase.com/cbreader/2022/9/11/Game233920671.html" TargetMode="External"/><Relationship Id="rId3" Type="http://schemas.openxmlformats.org/officeDocument/2006/relationships/hyperlink" Target="https://theweekinchess.com/html/twic1276.html" TargetMode="External"/><Relationship Id="rId4" Type="http://schemas.openxmlformats.org/officeDocument/2006/relationships/hyperlink" Target="http://view.chessbase.com/cbreader/2022/9/11/Game236020937.html" TargetMode="External"/><Relationship Id="rId9" Type="http://schemas.openxmlformats.org/officeDocument/2006/relationships/hyperlink" Target="http://view.chessbase.com/cbreader/2022/9/11/Game235649140.html" TargetMode="External"/><Relationship Id="rId5" Type="http://schemas.openxmlformats.org/officeDocument/2006/relationships/hyperlink" Target="http://view.chessbase.com/cbreader/2022/9/11/Game235905625.html" TargetMode="External"/><Relationship Id="rId6" Type="http://schemas.openxmlformats.org/officeDocument/2006/relationships/hyperlink" Target="https://theweekinchess.com/html/twic1287.html" TargetMode="External"/><Relationship Id="rId7" Type="http://schemas.openxmlformats.org/officeDocument/2006/relationships/hyperlink" Target="http://view.chessbase.com/cbreader/2022/9/11/Game235758187.html" TargetMode="External"/><Relationship Id="rId8" Type="http://schemas.openxmlformats.org/officeDocument/2006/relationships/hyperlink" Target="https://theweekinchess.com/html/twic1289.html" TargetMode="External"/><Relationship Id="rId73" Type="http://schemas.openxmlformats.org/officeDocument/2006/relationships/hyperlink" Target="http://chess-results.com/tnr571844.aspx?lan=1&amp;art=9&amp;fed=USA&amp;flag=30&amp;snr=4" TargetMode="External"/><Relationship Id="rId72" Type="http://schemas.openxmlformats.org/officeDocument/2006/relationships/hyperlink" Target="http://view.chessbase.com/cbreader/2022/9/25/Game36526765.html" TargetMode="External"/><Relationship Id="rId75" Type="http://schemas.openxmlformats.org/officeDocument/2006/relationships/hyperlink" Target="http://chess-results.com/tnr587230.aspx?lan=1&amp;art=9&amp;fed=USA&amp;flag=30&amp;snr=58" TargetMode="External"/><Relationship Id="rId74" Type="http://schemas.openxmlformats.org/officeDocument/2006/relationships/hyperlink" Target="http://view.chessbase.com/cbreader/2022/9/25/Game36535562.html" TargetMode="External"/><Relationship Id="rId77" Type="http://schemas.openxmlformats.org/officeDocument/2006/relationships/hyperlink" Target="http://chess-results.com/tnr588848.aspx?lan=1&amp;art=9&amp;fed=USA&amp;snr=5" TargetMode="External"/><Relationship Id="rId76" Type="http://schemas.openxmlformats.org/officeDocument/2006/relationships/hyperlink" Target="http://view.chessbase.com/cbreader/2022/9/25/Game36546843.html" TargetMode="External"/><Relationship Id="rId79" Type="http://schemas.openxmlformats.org/officeDocument/2006/relationships/hyperlink" Target="http://chess-results.com/tnr577676.aspx?lan=1&amp;art=9&amp;fed=USA&amp;turdet=YES&amp;flag=30&amp;snr=4" TargetMode="External"/><Relationship Id="rId78" Type="http://schemas.openxmlformats.org/officeDocument/2006/relationships/hyperlink" Target="http://view.chessbase.com/cbreader/2022/9/25/Game36555875.html" TargetMode="External"/><Relationship Id="rId71" Type="http://schemas.openxmlformats.org/officeDocument/2006/relationships/hyperlink" Target="http://chess-results.com/tnr579252.aspx?lan=1&amp;art=9&amp;fed=USA&amp;flag=30&amp;snr=25" TargetMode="External"/><Relationship Id="rId70" Type="http://schemas.openxmlformats.org/officeDocument/2006/relationships/hyperlink" Target="http://view.chessbase.com/cbreader/2022/9/25/Game36514453.html" TargetMode="External"/><Relationship Id="rId62" Type="http://schemas.openxmlformats.org/officeDocument/2006/relationships/hyperlink" Target="http://view.chessbase.com/cbreader/2022/9/25/Game36473968.html" TargetMode="External"/><Relationship Id="rId61" Type="http://schemas.openxmlformats.org/officeDocument/2006/relationships/hyperlink" Target="https://theweekinchess.com/html/twic1394.html" TargetMode="External"/><Relationship Id="rId64" Type="http://schemas.openxmlformats.org/officeDocument/2006/relationships/hyperlink" Target="http://view.chessbase.com/cbreader/2022/9/25/Game36484296.html" TargetMode="External"/><Relationship Id="rId63" Type="http://schemas.openxmlformats.org/officeDocument/2006/relationships/hyperlink" Target="https://theweekinchess.com/html/twic1396.html" TargetMode="External"/><Relationship Id="rId66" Type="http://schemas.openxmlformats.org/officeDocument/2006/relationships/hyperlink" Target="http://view.chessbase.com/cbreader/2022/9/25/Game36495000.html" TargetMode="External"/><Relationship Id="rId65" Type="http://schemas.openxmlformats.org/officeDocument/2006/relationships/hyperlink" Target="http://chess-results.com/tnr560184.aspx?lan=1&amp;art=9&amp;fed=USA&amp;turdet=YES&amp;flag=30&amp;snr=2" TargetMode="External"/><Relationship Id="rId68" Type="http://schemas.openxmlformats.org/officeDocument/2006/relationships/hyperlink" Target="http://view.chessbase.com/cbreader/2022/9/25/Game36505218.html" TargetMode="External"/><Relationship Id="rId67" Type="http://schemas.openxmlformats.org/officeDocument/2006/relationships/hyperlink" Target="http://chess-results.com/tnr549364.aspx?lan=1&amp;art=9&amp;fed=USA&amp;turdet=YES&amp;flag=30&amp;snr=2" TargetMode="External"/><Relationship Id="rId60" Type="http://schemas.openxmlformats.org/officeDocument/2006/relationships/hyperlink" Target="http://view.chessbase.com/cbreader/2022/9/25/Game36454562.html" TargetMode="External"/><Relationship Id="rId69" Type="http://schemas.openxmlformats.org/officeDocument/2006/relationships/hyperlink" Target="http://chess-results.com/tnr575389.aspx?lan=1&amp;art=9&amp;turdet=YES&amp;snr=35" TargetMode="External"/><Relationship Id="rId51" Type="http://schemas.openxmlformats.org/officeDocument/2006/relationships/hyperlink" Target="http://chess-results.com/tnr554141.aspx?lan=1&amp;art=9&amp;fed=USA&amp;turdet=YES&amp;flag=30&amp;snr=7" TargetMode="External"/><Relationship Id="rId50" Type="http://schemas.openxmlformats.org/officeDocument/2006/relationships/hyperlink" Target="http://view.chessbase.com/cbreader/2022/9/10/Game231630218.html" TargetMode="External"/><Relationship Id="rId53" Type="http://schemas.openxmlformats.org/officeDocument/2006/relationships/hyperlink" Target="http://chess-results.com/tnr554142.aspx?lan=1&amp;art=9&amp;fed=USA&amp;turdet=YES&amp;flag=30&amp;snr=4" TargetMode="External"/><Relationship Id="rId52" Type="http://schemas.openxmlformats.org/officeDocument/2006/relationships/hyperlink" Target="http://view.chessbase.com/cbreader/2022/9/10/Game232061187.html" TargetMode="External"/><Relationship Id="rId55" Type="http://schemas.openxmlformats.org/officeDocument/2006/relationships/hyperlink" Target="https://theweekinchess.com/html/twic1389.html" TargetMode="External"/><Relationship Id="rId54" Type="http://schemas.openxmlformats.org/officeDocument/2006/relationships/hyperlink" Target="http://view.chessbase.com/cbreader/2022/9/10/Game232489765.html" TargetMode="External"/><Relationship Id="rId57" Type="http://schemas.openxmlformats.org/officeDocument/2006/relationships/hyperlink" Target="https://theweekinchess.com/html/twic1391.html" TargetMode="External"/><Relationship Id="rId56" Type="http://schemas.openxmlformats.org/officeDocument/2006/relationships/hyperlink" Target="http://view.chessbase.com/cbreader/2022/9/11/Game232837921.html" TargetMode="External"/><Relationship Id="rId59" Type="http://schemas.openxmlformats.org/officeDocument/2006/relationships/hyperlink" Target="https://theweekinchess.com/html/twic1391.html" TargetMode="External"/><Relationship Id="rId58" Type="http://schemas.openxmlformats.org/officeDocument/2006/relationships/hyperlink" Target="http://view.chessbase.com/cbreader/2022/9/11/Game2335497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7.38"/>
    <col customWidth="1" min="3" max="4" width="8.0"/>
    <col customWidth="1" min="5" max="28" width="4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>
        <v>1.0</v>
      </c>
      <c r="F1" s="4">
        <v>2.0</v>
      </c>
      <c r="G1" s="4">
        <v>3.0</v>
      </c>
      <c r="H1" s="4">
        <v>4.0</v>
      </c>
      <c r="I1" s="4">
        <v>5.0</v>
      </c>
      <c r="J1" s="4">
        <v>6.0</v>
      </c>
      <c r="K1" s="4">
        <v>7.0</v>
      </c>
      <c r="L1" s="4">
        <v>8.0</v>
      </c>
      <c r="M1" s="4">
        <v>9.0</v>
      </c>
      <c r="N1" s="4">
        <v>10.0</v>
      </c>
      <c r="O1" s="4">
        <v>11.0</v>
      </c>
      <c r="P1" s="4">
        <v>12.0</v>
      </c>
      <c r="Q1" s="4">
        <v>13.0</v>
      </c>
      <c r="R1" s="4">
        <v>14.0</v>
      </c>
      <c r="S1" s="4">
        <v>15.0</v>
      </c>
      <c r="T1" s="4">
        <v>16.0</v>
      </c>
      <c r="U1" s="4">
        <v>17.0</v>
      </c>
      <c r="V1" s="4">
        <v>18.0</v>
      </c>
      <c r="W1" s="4">
        <v>19.0</v>
      </c>
      <c r="X1" s="4">
        <v>20.0</v>
      </c>
      <c r="Y1" s="4">
        <v>21.0</v>
      </c>
      <c r="Z1" s="4">
        <v>22.0</v>
      </c>
      <c r="AA1" s="4">
        <v>23.0</v>
      </c>
      <c r="AB1" s="4">
        <v>24.0</v>
      </c>
    </row>
    <row r="2">
      <c r="A2" s="5" t="s">
        <v>4</v>
      </c>
      <c r="B2" s="6"/>
      <c r="C2" s="7" t="s">
        <v>5</v>
      </c>
      <c r="D2" s="8">
        <f t="shared" ref="D2:D10" si="1">AVERAGE(E2:AB2)</f>
        <v>49.28571429</v>
      </c>
      <c r="E2" s="9">
        <v>71.0</v>
      </c>
      <c r="F2" s="9">
        <v>46.0</v>
      </c>
      <c r="G2" s="10"/>
      <c r="H2" s="11">
        <v>30.0</v>
      </c>
      <c r="I2" s="9">
        <v>69.0</v>
      </c>
      <c r="J2" s="9">
        <v>59.0</v>
      </c>
      <c r="K2" s="11">
        <v>24.0</v>
      </c>
      <c r="L2" s="9">
        <v>46.0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" t="s">
        <v>6</v>
      </c>
      <c r="B3" s="6"/>
      <c r="C3" s="12" t="s">
        <v>5</v>
      </c>
      <c r="D3" s="8">
        <f t="shared" si="1"/>
        <v>53.14285714</v>
      </c>
      <c r="E3" s="11">
        <v>36.0</v>
      </c>
      <c r="F3" s="9">
        <v>55.0</v>
      </c>
      <c r="G3" s="11">
        <v>37.0</v>
      </c>
      <c r="H3" s="9">
        <v>46.0</v>
      </c>
      <c r="I3" s="9">
        <v>75.0</v>
      </c>
      <c r="J3" s="9">
        <v>84.0</v>
      </c>
      <c r="K3" s="11">
        <v>39.0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5" t="s">
        <v>7</v>
      </c>
      <c r="B4" s="6"/>
      <c r="C4" s="7" t="s">
        <v>5</v>
      </c>
      <c r="D4" s="8">
        <f t="shared" si="1"/>
        <v>50.5</v>
      </c>
      <c r="E4" s="11">
        <v>39.0</v>
      </c>
      <c r="F4" s="9">
        <v>64.0</v>
      </c>
      <c r="G4" s="9">
        <v>72.0</v>
      </c>
      <c r="H4" s="9">
        <v>81.0</v>
      </c>
      <c r="I4" s="11">
        <v>27.0</v>
      </c>
      <c r="J4" s="9">
        <v>62.0</v>
      </c>
      <c r="K4" s="11">
        <v>20.0</v>
      </c>
      <c r="L4" s="11">
        <v>39.0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5" t="s">
        <v>8</v>
      </c>
      <c r="B5" s="13" t="s">
        <v>9</v>
      </c>
      <c r="C5" s="7" t="s">
        <v>5</v>
      </c>
      <c r="D5" s="8">
        <f t="shared" si="1"/>
        <v>55.375</v>
      </c>
      <c r="E5" s="9">
        <v>65.0</v>
      </c>
      <c r="F5" s="9">
        <v>71.0</v>
      </c>
      <c r="G5" s="9">
        <v>73.0</v>
      </c>
      <c r="H5" s="10"/>
      <c r="I5" s="11">
        <v>29.0</v>
      </c>
      <c r="J5" s="11">
        <v>30.0</v>
      </c>
      <c r="K5" s="9">
        <v>46.0</v>
      </c>
      <c r="L5" s="9">
        <v>71.0</v>
      </c>
      <c r="M5" s="9">
        <v>58.0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5" t="s">
        <v>10</v>
      </c>
      <c r="B6" s="10"/>
      <c r="C6" s="12" t="s">
        <v>5</v>
      </c>
      <c r="D6" s="8">
        <f t="shared" si="1"/>
        <v>60</v>
      </c>
      <c r="E6" s="9">
        <v>55.0</v>
      </c>
      <c r="F6" s="9">
        <v>85.0</v>
      </c>
      <c r="G6" s="9">
        <v>51.0</v>
      </c>
      <c r="H6" s="9">
        <v>64.0</v>
      </c>
      <c r="I6" s="9">
        <v>53.0</v>
      </c>
      <c r="J6" s="10"/>
      <c r="K6" s="9">
        <v>59.0</v>
      </c>
      <c r="L6" s="9">
        <v>77.0</v>
      </c>
      <c r="M6" s="11">
        <v>36.0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" t="s">
        <v>11</v>
      </c>
      <c r="B7" s="9">
        <v>2551.0</v>
      </c>
      <c r="C7" s="7" t="s">
        <v>5</v>
      </c>
      <c r="D7" s="8">
        <f t="shared" si="1"/>
        <v>59.8</v>
      </c>
      <c r="E7" s="9">
        <v>77.0</v>
      </c>
      <c r="F7" s="9">
        <v>51.0</v>
      </c>
      <c r="G7" s="10"/>
      <c r="H7" s="9">
        <v>70.0</v>
      </c>
      <c r="I7" s="10"/>
      <c r="J7" s="9">
        <v>54.0</v>
      </c>
      <c r="K7" s="10"/>
      <c r="L7" s="9">
        <v>47.0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5" t="s">
        <v>12</v>
      </c>
      <c r="B8" s="9">
        <v>2410.0</v>
      </c>
      <c r="C8" s="7" t="s">
        <v>5</v>
      </c>
      <c r="D8" s="8">
        <f t="shared" si="1"/>
        <v>57</v>
      </c>
      <c r="E8" s="9">
        <v>62.0</v>
      </c>
      <c r="F8" s="9">
        <v>70.0</v>
      </c>
      <c r="G8" s="9">
        <v>62.0</v>
      </c>
      <c r="H8" s="9">
        <v>50.0</v>
      </c>
      <c r="I8" s="10"/>
      <c r="J8" s="9">
        <v>56.0</v>
      </c>
      <c r="K8" s="9">
        <v>64.0</v>
      </c>
      <c r="L8" s="9">
        <v>100.0</v>
      </c>
      <c r="M8" s="9">
        <v>44.0</v>
      </c>
      <c r="N8" s="11">
        <v>23.0</v>
      </c>
      <c r="O8" s="11">
        <v>39.0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5" t="s">
        <v>13</v>
      </c>
      <c r="B9" s="9">
        <v>2613.0</v>
      </c>
      <c r="C9" s="7" t="s">
        <v>5</v>
      </c>
      <c r="D9" s="8">
        <f t="shared" si="1"/>
        <v>64.125</v>
      </c>
      <c r="E9" s="9">
        <v>49.0</v>
      </c>
      <c r="F9" s="9">
        <v>94.0</v>
      </c>
      <c r="G9" s="9">
        <v>72.0</v>
      </c>
      <c r="H9" s="9">
        <v>59.0</v>
      </c>
      <c r="I9" s="9">
        <v>44.0</v>
      </c>
      <c r="J9" s="9">
        <v>71.0</v>
      </c>
      <c r="K9" s="9">
        <v>71.0</v>
      </c>
      <c r="L9" s="9">
        <v>53.0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5" t="s">
        <v>14</v>
      </c>
      <c r="B10" s="10"/>
      <c r="C10" s="7" t="s">
        <v>5</v>
      </c>
      <c r="D10" s="8">
        <f t="shared" si="1"/>
        <v>64</v>
      </c>
      <c r="E10" s="9">
        <v>51.0</v>
      </c>
      <c r="F10" s="9">
        <v>47.0</v>
      </c>
      <c r="G10" s="9">
        <v>73.0</v>
      </c>
      <c r="H10" s="9">
        <v>61.0</v>
      </c>
      <c r="I10" s="10"/>
      <c r="J10" s="9">
        <v>54.0</v>
      </c>
      <c r="K10" s="9">
        <v>50.0</v>
      </c>
      <c r="L10" s="9">
        <v>88.0</v>
      </c>
      <c r="M10" s="9">
        <v>88.0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5" t="s">
        <v>15</v>
      </c>
      <c r="B11" s="10"/>
      <c r="C11" s="7" t="s">
        <v>5</v>
      </c>
      <c r="D11" s="8">
        <f>AVERAGE(F11:AB11)</f>
        <v>70.25</v>
      </c>
      <c r="E11" s="10"/>
      <c r="F11" s="9">
        <v>81.0</v>
      </c>
      <c r="G11" s="9">
        <v>66.0</v>
      </c>
      <c r="H11" s="9">
        <v>58.0</v>
      </c>
      <c r="I11" s="9">
        <v>83.0</v>
      </c>
      <c r="J11" s="9">
        <v>55.0</v>
      </c>
      <c r="K11" s="9">
        <v>40.0</v>
      </c>
      <c r="L11" s="9">
        <v>100.0</v>
      </c>
      <c r="M11" s="10"/>
      <c r="N11" s="9">
        <v>79.0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5" t="s">
        <v>16</v>
      </c>
      <c r="B12" s="6"/>
      <c r="C12" s="7" t="s">
        <v>5</v>
      </c>
      <c r="D12" s="8">
        <f t="shared" ref="D12:D25" si="2">AVERAGE(E12:AB12)</f>
        <v>69.44444444</v>
      </c>
      <c r="E12" s="9">
        <v>68.0</v>
      </c>
      <c r="F12" s="9">
        <v>62.0</v>
      </c>
      <c r="G12" s="9">
        <v>61.0</v>
      </c>
      <c r="H12" s="9">
        <v>70.0</v>
      </c>
      <c r="I12" s="9">
        <v>69.0</v>
      </c>
      <c r="J12" s="9">
        <v>62.0</v>
      </c>
      <c r="K12" s="9">
        <v>90.0</v>
      </c>
      <c r="L12" s="9">
        <v>74.0</v>
      </c>
      <c r="M12" s="9">
        <v>69.0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5" t="s">
        <v>17</v>
      </c>
      <c r="B13" s="13" t="s">
        <v>18</v>
      </c>
      <c r="C13" s="7" t="s">
        <v>5</v>
      </c>
      <c r="D13" s="8">
        <f t="shared" si="2"/>
        <v>75.57142857</v>
      </c>
      <c r="E13" s="9">
        <v>96.0</v>
      </c>
      <c r="F13" s="9">
        <v>59.0</v>
      </c>
      <c r="G13" s="9">
        <v>61.0</v>
      </c>
      <c r="H13" s="9">
        <v>72.0</v>
      </c>
      <c r="I13" s="9">
        <v>69.0</v>
      </c>
      <c r="J13" s="9">
        <v>100.0</v>
      </c>
      <c r="K13" s="10"/>
      <c r="L13" s="9">
        <v>72.0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5" t="s">
        <v>19</v>
      </c>
      <c r="B14" s="6"/>
      <c r="C14" s="7" t="s">
        <v>5</v>
      </c>
      <c r="D14" s="8">
        <f t="shared" si="2"/>
        <v>44</v>
      </c>
      <c r="E14" s="10"/>
      <c r="F14" s="9">
        <v>50.0</v>
      </c>
      <c r="G14" s="11">
        <v>25.0</v>
      </c>
      <c r="H14" s="9">
        <v>57.0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5" t="s">
        <v>20</v>
      </c>
      <c r="B15" s="13" t="s">
        <v>21</v>
      </c>
      <c r="C15" s="7" t="s">
        <v>5</v>
      </c>
      <c r="D15" s="8">
        <f t="shared" si="2"/>
        <v>72.4</v>
      </c>
      <c r="E15" s="9">
        <v>69.0</v>
      </c>
      <c r="F15" s="9">
        <v>80.0</v>
      </c>
      <c r="G15" s="9">
        <v>51.0</v>
      </c>
      <c r="H15" s="9">
        <v>63.0</v>
      </c>
      <c r="I15" s="9">
        <v>72.0</v>
      </c>
      <c r="J15" s="9">
        <v>100.0</v>
      </c>
      <c r="K15" s="9">
        <v>72.0</v>
      </c>
      <c r="L15" s="9">
        <v>73.0</v>
      </c>
      <c r="M15" s="9">
        <v>88.0</v>
      </c>
      <c r="N15" s="9">
        <v>56.0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5" t="s">
        <v>22</v>
      </c>
      <c r="B16" s="13" t="s">
        <v>23</v>
      </c>
      <c r="C16" s="7" t="s">
        <v>5</v>
      </c>
      <c r="D16" s="8">
        <f t="shared" si="2"/>
        <v>66.625</v>
      </c>
      <c r="E16" s="9">
        <v>65.0</v>
      </c>
      <c r="F16" s="9">
        <v>66.0</v>
      </c>
      <c r="G16" s="9">
        <v>71.0</v>
      </c>
      <c r="H16" s="9">
        <v>51.0</v>
      </c>
      <c r="I16" s="9">
        <v>73.0</v>
      </c>
      <c r="J16" s="9">
        <v>49.0</v>
      </c>
      <c r="K16" s="9">
        <v>90.0</v>
      </c>
      <c r="L16" s="9">
        <v>68.0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5" t="s">
        <v>24</v>
      </c>
      <c r="B17" s="13" t="s">
        <v>25</v>
      </c>
      <c r="C17" s="7" t="s">
        <v>5</v>
      </c>
      <c r="D17" s="8">
        <f t="shared" si="2"/>
        <v>70.33333333</v>
      </c>
      <c r="E17" s="10"/>
      <c r="F17" s="10"/>
      <c r="G17" s="9">
        <v>86.0</v>
      </c>
      <c r="H17" s="9">
        <v>58.0</v>
      </c>
      <c r="I17" s="9">
        <v>84.0</v>
      </c>
      <c r="J17" s="9">
        <v>54.0</v>
      </c>
      <c r="K17" s="9">
        <v>78.0</v>
      </c>
      <c r="L17" s="9">
        <v>62.0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5" t="s">
        <v>26</v>
      </c>
      <c r="B18" s="13" t="s">
        <v>27</v>
      </c>
      <c r="C18" s="7" t="s">
        <v>5</v>
      </c>
      <c r="D18" s="8">
        <f t="shared" si="2"/>
        <v>67</v>
      </c>
      <c r="E18" s="10"/>
      <c r="F18" s="9">
        <v>62.0</v>
      </c>
      <c r="G18" s="9">
        <v>83.0</v>
      </c>
      <c r="H18" s="9">
        <v>69.0</v>
      </c>
      <c r="I18" s="9">
        <v>71.0</v>
      </c>
      <c r="J18" s="14">
        <v>38.0</v>
      </c>
      <c r="K18" s="9">
        <v>90.0</v>
      </c>
      <c r="L18" s="10"/>
      <c r="M18" s="9">
        <v>56.0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5" t="s">
        <v>28</v>
      </c>
      <c r="B19" s="13" t="s">
        <v>29</v>
      </c>
      <c r="C19" s="7" t="s">
        <v>5</v>
      </c>
      <c r="D19" s="8">
        <f t="shared" si="2"/>
        <v>67.66666667</v>
      </c>
      <c r="E19" s="9">
        <v>96.0</v>
      </c>
      <c r="F19" s="9">
        <v>68.0</v>
      </c>
      <c r="G19" s="9">
        <v>79.0</v>
      </c>
      <c r="H19" s="9">
        <v>97.0</v>
      </c>
      <c r="I19" s="9">
        <v>61.0</v>
      </c>
      <c r="J19" s="9">
        <v>49.0</v>
      </c>
      <c r="K19" s="9">
        <v>49.0</v>
      </c>
      <c r="L19" s="9">
        <v>44.0</v>
      </c>
      <c r="M19" s="9">
        <v>66.0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5" t="s">
        <v>30</v>
      </c>
      <c r="B20" s="13" t="s">
        <v>31</v>
      </c>
      <c r="C20" s="7" t="s">
        <v>5</v>
      </c>
      <c r="D20" s="8">
        <f t="shared" si="2"/>
        <v>52.66666667</v>
      </c>
      <c r="E20" s="14">
        <v>17.0</v>
      </c>
      <c r="F20" s="9">
        <v>75.0</v>
      </c>
      <c r="G20" s="9">
        <v>60.0</v>
      </c>
      <c r="H20" s="9">
        <v>61.0</v>
      </c>
      <c r="I20" s="10"/>
      <c r="J20" s="9">
        <v>65.0</v>
      </c>
      <c r="K20" s="9">
        <v>38.0</v>
      </c>
      <c r="L20" s="10"/>
      <c r="M20" s="10"/>
      <c r="N20" s="10"/>
      <c r="O20" s="10"/>
      <c r="P20" s="10"/>
      <c r="Q20" s="10"/>
      <c r="R20" s="10"/>
      <c r="S20" s="10"/>
      <c r="T20" s="9" t="s">
        <v>32</v>
      </c>
      <c r="U20" s="10"/>
      <c r="V20" s="10"/>
      <c r="W20" s="10"/>
      <c r="X20" s="10"/>
      <c r="Y20" s="10"/>
      <c r="Z20" s="10"/>
      <c r="AA20" s="10"/>
      <c r="AB20" s="10"/>
    </row>
    <row r="21">
      <c r="A21" s="5" t="s">
        <v>33</v>
      </c>
      <c r="B21" s="13" t="s">
        <v>34</v>
      </c>
      <c r="C21" s="7" t="s">
        <v>5</v>
      </c>
      <c r="D21" s="8">
        <f t="shared" si="2"/>
        <v>68.11111111</v>
      </c>
      <c r="E21" s="9">
        <v>98.0</v>
      </c>
      <c r="F21" s="9">
        <v>71.0</v>
      </c>
      <c r="G21" s="9">
        <v>93.0</v>
      </c>
      <c r="H21" s="9">
        <v>55.0</v>
      </c>
      <c r="I21" s="9">
        <v>92.0</v>
      </c>
      <c r="J21" s="9">
        <v>59.0</v>
      </c>
      <c r="K21" s="9">
        <v>42.0</v>
      </c>
      <c r="L21" s="9">
        <v>48.0</v>
      </c>
      <c r="M21" s="9">
        <v>55.0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5" t="s">
        <v>35</v>
      </c>
      <c r="B22" s="13" t="s">
        <v>36</v>
      </c>
      <c r="C22" s="7" t="s">
        <v>5</v>
      </c>
      <c r="D22" s="8">
        <f t="shared" si="2"/>
        <v>65.8</v>
      </c>
      <c r="E22" s="9">
        <v>74.0</v>
      </c>
      <c r="F22" s="9">
        <v>43.0</v>
      </c>
      <c r="G22" s="9">
        <v>78.0</v>
      </c>
      <c r="H22" s="9">
        <v>59.0</v>
      </c>
      <c r="I22" s="9">
        <v>75.0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5" t="s">
        <v>37</v>
      </c>
      <c r="B23" s="13" t="s">
        <v>38</v>
      </c>
      <c r="C23" s="7" t="s">
        <v>5</v>
      </c>
      <c r="D23" s="8">
        <f t="shared" si="2"/>
        <v>69</v>
      </c>
      <c r="E23" s="9">
        <v>60.0</v>
      </c>
      <c r="F23" s="9">
        <v>50.0</v>
      </c>
      <c r="G23" s="9">
        <v>87.0</v>
      </c>
      <c r="H23" s="9">
        <v>85.0</v>
      </c>
      <c r="I23" s="9">
        <v>100.0</v>
      </c>
      <c r="J23" s="9">
        <v>79.0</v>
      </c>
      <c r="K23" s="9">
        <v>42.0</v>
      </c>
      <c r="L23" s="9">
        <v>49.0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5" t="s">
        <v>39</v>
      </c>
      <c r="B24" s="6"/>
      <c r="C24" s="7" t="s">
        <v>5</v>
      </c>
      <c r="D24" s="8">
        <f t="shared" si="2"/>
        <v>61.66666667</v>
      </c>
      <c r="E24" s="9">
        <v>76.0</v>
      </c>
      <c r="F24" s="9">
        <v>63.0</v>
      </c>
      <c r="G24" s="9">
        <v>42.0</v>
      </c>
      <c r="H24" s="9">
        <v>45.0</v>
      </c>
      <c r="I24" s="9">
        <v>76.0</v>
      </c>
      <c r="J24" s="9">
        <v>66.0</v>
      </c>
      <c r="K24" s="9">
        <v>66.0</v>
      </c>
      <c r="L24" s="9">
        <v>60.0</v>
      </c>
      <c r="M24" s="9">
        <v>61.0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5" t="s">
        <v>40</v>
      </c>
      <c r="B25" s="13" t="s">
        <v>41</v>
      </c>
      <c r="C25" s="7" t="s">
        <v>5</v>
      </c>
      <c r="D25" s="8">
        <f t="shared" si="2"/>
        <v>64.375</v>
      </c>
      <c r="E25" s="9">
        <v>54.0</v>
      </c>
      <c r="F25" s="9">
        <v>54.0</v>
      </c>
      <c r="G25" s="9">
        <v>68.0</v>
      </c>
      <c r="H25" s="10"/>
      <c r="I25" s="9">
        <v>60.0</v>
      </c>
      <c r="J25" s="9">
        <v>70.0</v>
      </c>
      <c r="K25" s="9">
        <v>91.0</v>
      </c>
      <c r="L25" s="9">
        <v>69.0</v>
      </c>
      <c r="M25" s="9">
        <v>49.0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5" t="s">
        <v>42</v>
      </c>
      <c r="B26" s="13" t="s">
        <v>43</v>
      </c>
      <c r="C26" s="7" t="s">
        <v>5</v>
      </c>
      <c r="D26" s="8">
        <f>AVERAGE(F26:AB26)</f>
        <v>74.25</v>
      </c>
      <c r="E26" s="10"/>
      <c r="F26" s="9">
        <v>70.0</v>
      </c>
      <c r="G26" s="9">
        <v>66.0</v>
      </c>
      <c r="H26" s="9">
        <v>51.0</v>
      </c>
      <c r="I26" s="9">
        <v>62.0</v>
      </c>
      <c r="J26" s="9">
        <v>98.0</v>
      </c>
      <c r="K26" s="9">
        <v>80.0</v>
      </c>
      <c r="L26" s="9">
        <v>72.0</v>
      </c>
      <c r="M26" s="9">
        <v>95.0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5" t="s">
        <v>44</v>
      </c>
      <c r="B27" s="13" t="s">
        <v>45</v>
      </c>
      <c r="C27" s="7" t="s">
        <v>5</v>
      </c>
      <c r="D27" s="8">
        <f t="shared" ref="D27:D63" si="3">AVERAGE(E27:AB27)</f>
        <v>63.5</v>
      </c>
      <c r="E27" s="9">
        <v>48.0</v>
      </c>
      <c r="F27" s="9">
        <v>52.0</v>
      </c>
      <c r="G27" s="9">
        <v>52.0</v>
      </c>
      <c r="H27" s="9">
        <v>53.0</v>
      </c>
      <c r="I27" s="9">
        <v>79.0</v>
      </c>
      <c r="J27" s="9">
        <v>73.0</v>
      </c>
      <c r="K27" s="9">
        <v>69.0</v>
      </c>
      <c r="L27" s="9">
        <v>82.0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5" t="s">
        <v>46</v>
      </c>
      <c r="B28" s="13" t="s">
        <v>47</v>
      </c>
      <c r="C28" s="7" t="s">
        <v>5</v>
      </c>
      <c r="D28" s="8">
        <f t="shared" si="3"/>
        <v>66</v>
      </c>
      <c r="E28" s="9">
        <v>73.0</v>
      </c>
      <c r="F28" s="9">
        <v>79.0</v>
      </c>
      <c r="G28" s="9">
        <v>75.0</v>
      </c>
      <c r="H28" s="9">
        <v>52.0</v>
      </c>
      <c r="I28" s="9">
        <v>58.0</v>
      </c>
      <c r="J28" s="9">
        <v>89.0</v>
      </c>
      <c r="K28" s="9">
        <v>50.0</v>
      </c>
      <c r="L28" s="9">
        <v>59.0</v>
      </c>
      <c r="M28" s="9">
        <v>59.0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5" t="s">
        <v>48</v>
      </c>
      <c r="B29" s="6"/>
      <c r="C29" s="7" t="s">
        <v>5</v>
      </c>
      <c r="D29" s="8">
        <f t="shared" si="3"/>
        <v>63.44444444</v>
      </c>
      <c r="E29" s="9">
        <v>51.0</v>
      </c>
      <c r="F29" s="9">
        <v>89.0</v>
      </c>
      <c r="G29" s="9">
        <v>80.0</v>
      </c>
      <c r="H29" s="9">
        <v>88.0</v>
      </c>
      <c r="I29" s="9">
        <v>83.0</v>
      </c>
      <c r="J29" s="9">
        <v>47.0</v>
      </c>
      <c r="K29" s="11">
        <v>26.0</v>
      </c>
      <c r="L29" s="9">
        <v>77.0</v>
      </c>
      <c r="M29" s="11">
        <v>30.0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5" t="s">
        <v>49</v>
      </c>
      <c r="B30" s="10"/>
      <c r="C30" s="7" t="s">
        <v>5</v>
      </c>
      <c r="D30" s="8">
        <f t="shared" si="3"/>
        <v>69.875</v>
      </c>
      <c r="E30" s="9">
        <v>100.0</v>
      </c>
      <c r="F30" s="9">
        <v>54.0</v>
      </c>
      <c r="G30" s="9">
        <v>78.0</v>
      </c>
      <c r="H30" s="9">
        <v>62.0</v>
      </c>
      <c r="I30" s="9">
        <v>51.0</v>
      </c>
      <c r="J30" s="9">
        <v>73.0</v>
      </c>
      <c r="K30" s="9">
        <v>72.0</v>
      </c>
      <c r="L30" s="10"/>
      <c r="M30" s="9">
        <v>69.0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5" t="s">
        <v>50</v>
      </c>
      <c r="B31" s="10"/>
      <c r="C31" s="7" t="s">
        <v>5</v>
      </c>
      <c r="D31" s="8">
        <f t="shared" si="3"/>
        <v>70.28571429</v>
      </c>
      <c r="E31" s="10"/>
      <c r="F31" s="9">
        <v>74.0</v>
      </c>
      <c r="G31" s="9">
        <v>63.0</v>
      </c>
      <c r="H31" s="9">
        <v>92.0</v>
      </c>
      <c r="I31" s="9">
        <v>67.0</v>
      </c>
      <c r="J31" s="10"/>
      <c r="K31" s="10"/>
      <c r="L31" s="9">
        <v>60.0</v>
      </c>
      <c r="M31" s="9">
        <v>67.0</v>
      </c>
      <c r="N31" s="9">
        <v>69.0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5" t="s">
        <v>51</v>
      </c>
      <c r="B32" s="13" t="s">
        <v>52</v>
      </c>
      <c r="C32" s="7" t="s">
        <v>5</v>
      </c>
      <c r="D32" s="8">
        <f t="shared" si="3"/>
        <v>78.55555556</v>
      </c>
      <c r="E32" s="9">
        <v>68.0</v>
      </c>
      <c r="F32" s="9">
        <v>56.0</v>
      </c>
      <c r="G32" s="9">
        <v>98.0</v>
      </c>
      <c r="H32" s="9">
        <v>81.0</v>
      </c>
      <c r="I32" s="9">
        <v>80.0</v>
      </c>
      <c r="J32" s="9">
        <v>100.0</v>
      </c>
      <c r="K32" s="9">
        <v>85.0</v>
      </c>
      <c r="L32" s="9">
        <v>67.0</v>
      </c>
      <c r="M32" s="9">
        <v>72.0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5" t="s">
        <v>53</v>
      </c>
      <c r="B33" s="10"/>
      <c r="C33" s="7" t="s">
        <v>5</v>
      </c>
      <c r="D33" s="8">
        <f t="shared" si="3"/>
        <v>79.14285714</v>
      </c>
      <c r="E33" s="9">
        <v>71.0</v>
      </c>
      <c r="F33" s="9">
        <v>80.0</v>
      </c>
      <c r="G33" s="9">
        <v>72.0</v>
      </c>
      <c r="H33" s="9">
        <v>97.0</v>
      </c>
      <c r="I33" s="9">
        <v>86.0</v>
      </c>
      <c r="J33" s="10"/>
      <c r="K33" s="9">
        <v>64.0</v>
      </c>
      <c r="L33" s="10"/>
      <c r="M33" s="9">
        <v>84.0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5" t="s">
        <v>54</v>
      </c>
      <c r="B34" s="13" t="s">
        <v>55</v>
      </c>
      <c r="C34" s="7" t="s">
        <v>5</v>
      </c>
      <c r="D34" s="8">
        <f t="shared" si="3"/>
        <v>68.57142857</v>
      </c>
      <c r="E34" s="9">
        <v>78.0</v>
      </c>
      <c r="F34" s="9">
        <v>43.0</v>
      </c>
      <c r="G34" s="10"/>
      <c r="H34" s="9">
        <v>63.0</v>
      </c>
      <c r="I34" s="9">
        <v>71.0</v>
      </c>
      <c r="J34" s="10"/>
      <c r="K34" s="9">
        <v>100.0</v>
      </c>
      <c r="L34" s="9">
        <v>67.0</v>
      </c>
      <c r="M34" s="9">
        <v>58.0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5" t="s">
        <v>56</v>
      </c>
      <c r="B35" s="13" t="s">
        <v>57</v>
      </c>
      <c r="C35" s="7" t="s">
        <v>5</v>
      </c>
      <c r="D35" s="8">
        <f t="shared" si="3"/>
        <v>62.85714286</v>
      </c>
      <c r="E35" s="10"/>
      <c r="F35" s="10"/>
      <c r="G35" s="9">
        <v>89.0</v>
      </c>
      <c r="H35" s="9">
        <v>63.0</v>
      </c>
      <c r="I35" s="9">
        <v>62.0</v>
      </c>
      <c r="J35" s="9">
        <v>61.0</v>
      </c>
      <c r="K35" s="9">
        <v>59.0</v>
      </c>
      <c r="L35" s="9">
        <v>56.0</v>
      </c>
      <c r="M35" s="9">
        <v>50.0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5" t="s">
        <v>58</v>
      </c>
      <c r="B36" s="13" t="s">
        <v>43</v>
      </c>
      <c r="C36" s="7" t="s">
        <v>5</v>
      </c>
      <c r="D36" s="8">
        <f t="shared" si="3"/>
        <v>67.81818182</v>
      </c>
      <c r="E36" s="9">
        <v>80.0</v>
      </c>
      <c r="F36" s="9">
        <v>81.0</v>
      </c>
      <c r="G36" s="9">
        <v>56.0</v>
      </c>
      <c r="H36" s="9">
        <v>52.0</v>
      </c>
      <c r="I36" s="9">
        <v>77.0</v>
      </c>
      <c r="J36" s="9">
        <v>64.0</v>
      </c>
      <c r="K36" s="9">
        <v>67.0</v>
      </c>
      <c r="L36" s="9">
        <v>42.0</v>
      </c>
      <c r="M36" s="9">
        <v>82.0</v>
      </c>
      <c r="N36" s="9">
        <v>72.0</v>
      </c>
      <c r="O36" s="9">
        <v>73.0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5" t="s">
        <v>59</v>
      </c>
      <c r="B37" s="13" t="s">
        <v>47</v>
      </c>
      <c r="C37" s="7" t="s">
        <v>5</v>
      </c>
      <c r="D37" s="8">
        <f t="shared" si="3"/>
        <v>65.875</v>
      </c>
      <c r="E37" s="10"/>
      <c r="F37" s="9">
        <v>100.0</v>
      </c>
      <c r="G37" s="9">
        <v>40.0</v>
      </c>
      <c r="H37" s="9">
        <v>83.0</v>
      </c>
      <c r="I37" s="9">
        <v>51.0</v>
      </c>
      <c r="J37" s="9">
        <v>67.0</v>
      </c>
      <c r="K37" s="9">
        <v>54.0</v>
      </c>
      <c r="L37" s="9">
        <v>56.0</v>
      </c>
      <c r="M37" s="9">
        <v>76.0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5" t="s">
        <v>60</v>
      </c>
      <c r="B38" s="13" t="s">
        <v>61</v>
      </c>
      <c r="C38" s="7" t="s">
        <v>5</v>
      </c>
      <c r="D38" s="8">
        <f t="shared" si="3"/>
        <v>66.11111111</v>
      </c>
      <c r="E38" s="9">
        <v>71.0</v>
      </c>
      <c r="F38" s="9">
        <v>54.0</v>
      </c>
      <c r="G38" s="9">
        <v>77.0</v>
      </c>
      <c r="H38" s="9">
        <v>54.0</v>
      </c>
      <c r="I38" s="9">
        <v>64.0</v>
      </c>
      <c r="J38" s="9">
        <v>80.0</v>
      </c>
      <c r="K38" s="9">
        <v>68.0</v>
      </c>
      <c r="L38" s="9">
        <v>62.0</v>
      </c>
      <c r="M38" s="9">
        <v>65.0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5" t="s">
        <v>62</v>
      </c>
      <c r="B39" s="13" t="s">
        <v>63</v>
      </c>
      <c r="C39" s="7" t="s">
        <v>5</v>
      </c>
      <c r="D39" s="8">
        <f t="shared" si="3"/>
        <v>73.5</v>
      </c>
      <c r="E39" s="9">
        <v>78.0</v>
      </c>
      <c r="F39" s="9">
        <v>51.0</v>
      </c>
      <c r="G39" s="9">
        <v>72.0</v>
      </c>
      <c r="H39" s="9">
        <v>74.0</v>
      </c>
      <c r="I39" s="9">
        <v>79.0</v>
      </c>
      <c r="J39" s="9">
        <v>70.0</v>
      </c>
      <c r="K39" s="9">
        <v>84.0</v>
      </c>
      <c r="L39" s="9">
        <v>83.0</v>
      </c>
      <c r="M39" s="9">
        <v>85.0</v>
      </c>
      <c r="N39" s="10"/>
      <c r="O39" s="9">
        <v>59.0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5" t="s">
        <v>64</v>
      </c>
      <c r="B40" s="13" t="s">
        <v>65</v>
      </c>
      <c r="C40" s="7" t="s">
        <v>5</v>
      </c>
      <c r="D40" s="8">
        <f t="shared" si="3"/>
        <v>67.88888889</v>
      </c>
      <c r="E40" s="9">
        <v>62.0</v>
      </c>
      <c r="F40" s="9">
        <v>69.0</v>
      </c>
      <c r="G40" s="9">
        <v>50.0</v>
      </c>
      <c r="H40" s="9">
        <v>79.0</v>
      </c>
      <c r="I40" s="10"/>
      <c r="J40" s="9">
        <v>48.0</v>
      </c>
      <c r="K40" s="9">
        <v>92.0</v>
      </c>
      <c r="L40" s="9">
        <v>82.0</v>
      </c>
      <c r="M40" s="9">
        <v>68.0</v>
      </c>
      <c r="N40" s="9">
        <v>61.0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5" t="s">
        <v>66</v>
      </c>
      <c r="B41" s="13" t="s">
        <v>67</v>
      </c>
      <c r="C41" s="7" t="s">
        <v>5</v>
      </c>
      <c r="D41" s="8">
        <f t="shared" si="3"/>
        <v>66.66666667</v>
      </c>
      <c r="E41" s="10"/>
      <c r="F41" s="9">
        <v>66.0</v>
      </c>
      <c r="G41" s="9">
        <v>65.0</v>
      </c>
      <c r="H41" s="9">
        <v>54.0</v>
      </c>
      <c r="I41" s="9">
        <v>67.0</v>
      </c>
      <c r="J41" s="9">
        <v>75.0</v>
      </c>
      <c r="K41" s="9">
        <v>43.0</v>
      </c>
      <c r="L41" s="9">
        <v>91.0</v>
      </c>
      <c r="M41" s="9">
        <v>70.0</v>
      </c>
      <c r="N41" s="9">
        <v>69.0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5" t="s">
        <v>68</v>
      </c>
      <c r="B42" s="13" t="s">
        <v>69</v>
      </c>
      <c r="C42" s="7" t="s">
        <v>5</v>
      </c>
      <c r="D42" s="8">
        <f t="shared" si="3"/>
        <v>59.33333333</v>
      </c>
      <c r="E42" s="9">
        <v>91.0</v>
      </c>
      <c r="F42" s="9">
        <v>55.0</v>
      </c>
      <c r="G42" s="11">
        <v>37.0</v>
      </c>
      <c r="H42" s="9">
        <v>74.0</v>
      </c>
      <c r="I42" s="9">
        <v>40.0</v>
      </c>
      <c r="J42" s="9">
        <v>66.0</v>
      </c>
      <c r="K42" s="9">
        <v>61.0</v>
      </c>
      <c r="L42" s="9">
        <v>48.0</v>
      </c>
      <c r="M42" s="9">
        <v>62.0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5" t="s">
        <v>70</v>
      </c>
      <c r="B43" s="13" t="s">
        <v>71</v>
      </c>
      <c r="C43" s="7" t="s">
        <v>5</v>
      </c>
      <c r="D43" s="8">
        <f t="shared" si="3"/>
        <v>65.11111111</v>
      </c>
      <c r="E43" s="9">
        <v>64.0</v>
      </c>
      <c r="F43" s="9">
        <v>52.0</v>
      </c>
      <c r="G43" s="9">
        <v>69.0</v>
      </c>
      <c r="H43" s="9">
        <v>62.0</v>
      </c>
      <c r="I43" s="9">
        <v>75.0</v>
      </c>
      <c r="J43" s="9">
        <v>54.0</v>
      </c>
      <c r="K43" s="9">
        <v>92.0</v>
      </c>
      <c r="L43" s="9">
        <v>57.0</v>
      </c>
      <c r="M43" s="9">
        <v>61.0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5" t="s">
        <v>72</v>
      </c>
      <c r="B44" s="13" t="s">
        <v>73</v>
      </c>
      <c r="C44" s="7" t="s">
        <v>5</v>
      </c>
      <c r="D44" s="8">
        <f t="shared" si="3"/>
        <v>69.88888889</v>
      </c>
      <c r="E44" s="9">
        <v>71.0</v>
      </c>
      <c r="F44" s="9">
        <v>51.0</v>
      </c>
      <c r="G44" s="9">
        <v>93.0</v>
      </c>
      <c r="H44" s="9">
        <v>52.0</v>
      </c>
      <c r="I44" s="9">
        <v>100.0</v>
      </c>
      <c r="J44" s="9">
        <v>43.0</v>
      </c>
      <c r="K44" s="9">
        <v>71.0</v>
      </c>
      <c r="L44" s="9">
        <v>75.0</v>
      </c>
      <c r="M44" s="9">
        <v>73.0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5" t="s">
        <v>74</v>
      </c>
      <c r="B45" s="13" t="s">
        <v>75</v>
      </c>
      <c r="C45" s="7" t="s">
        <v>5</v>
      </c>
      <c r="D45" s="8">
        <f t="shared" si="3"/>
        <v>63.875</v>
      </c>
      <c r="E45" s="9">
        <v>64.0</v>
      </c>
      <c r="F45" s="9">
        <v>54.0</v>
      </c>
      <c r="G45" s="10"/>
      <c r="H45" s="9">
        <v>53.0</v>
      </c>
      <c r="I45" s="9">
        <v>65.0</v>
      </c>
      <c r="J45" s="9">
        <v>74.0</v>
      </c>
      <c r="K45" s="9">
        <v>70.0</v>
      </c>
      <c r="L45" s="9">
        <v>69.0</v>
      </c>
      <c r="M45" s="9">
        <v>62.0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5" t="s">
        <v>76</v>
      </c>
      <c r="B46" s="13" t="s">
        <v>77</v>
      </c>
      <c r="C46" s="7" t="s">
        <v>5</v>
      </c>
      <c r="D46" s="8">
        <f t="shared" si="3"/>
        <v>72.42857143</v>
      </c>
      <c r="E46" s="9">
        <v>59.0</v>
      </c>
      <c r="F46" s="9">
        <v>74.0</v>
      </c>
      <c r="G46" s="9">
        <v>65.0</v>
      </c>
      <c r="H46" s="9">
        <v>85.0</v>
      </c>
      <c r="I46" s="9">
        <v>64.0</v>
      </c>
      <c r="J46" s="9">
        <v>91.0</v>
      </c>
      <c r="K46" s="9">
        <v>69.0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5" t="s">
        <v>78</v>
      </c>
      <c r="B47" s="13" t="s">
        <v>79</v>
      </c>
      <c r="C47" s="7" t="s">
        <v>5</v>
      </c>
      <c r="D47" s="8">
        <f t="shared" si="3"/>
        <v>59.75</v>
      </c>
      <c r="E47" s="11">
        <v>35.0</v>
      </c>
      <c r="F47" s="9">
        <v>63.0</v>
      </c>
      <c r="G47" s="9">
        <v>75.0</v>
      </c>
      <c r="H47" s="9">
        <v>63.0</v>
      </c>
      <c r="I47" s="9">
        <v>54.0</v>
      </c>
      <c r="J47" s="9">
        <v>77.0</v>
      </c>
      <c r="K47" s="10"/>
      <c r="L47" s="9">
        <v>44.0</v>
      </c>
      <c r="M47" s="9">
        <v>67.0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5" t="s">
        <v>80</v>
      </c>
      <c r="B48" s="13" t="s">
        <v>81</v>
      </c>
      <c r="C48" s="7" t="s">
        <v>5</v>
      </c>
      <c r="D48" s="8">
        <f t="shared" si="3"/>
        <v>65.5</v>
      </c>
      <c r="E48" s="9">
        <v>54.0</v>
      </c>
      <c r="F48" s="9">
        <v>66.0</v>
      </c>
      <c r="G48" s="9">
        <v>78.0</v>
      </c>
      <c r="H48" s="9">
        <v>58.0</v>
      </c>
      <c r="I48" s="9">
        <v>67.0</v>
      </c>
      <c r="J48" s="10"/>
      <c r="K48" s="9">
        <v>66.0</v>
      </c>
      <c r="L48" s="9">
        <v>59.0</v>
      </c>
      <c r="M48" s="9">
        <v>76.0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5" t="s">
        <v>82</v>
      </c>
      <c r="B49" s="13" t="s">
        <v>83</v>
      </c>
      <c r="C49" s="7" t="s">
        <v>5</v>
      </c>
      <c r="D49" s="8">
        <f t="shared" si="3"/>
        <v>63.625</v>
      </c>
      <c r="E49" s="9">
        <v>71.0</v>
      </c>
      <c r="F49" s="10"/>
      <c r="G49" s="9">
        <v>83.0</v>
      </c>
      <c r="H49" s="9">
        <v>50.0</v>
      </c>
      <c r="I49" s="9">
        <v>48.0</v>
      </c>
      <c r="J49" s="9">
        <v>56.0</v>
      </c>
      <c r="K49" s="9">
        <v>46.0</v>
      </c>
      <c r="L49" s="9">
        <v>78.0</v>
      </c>
      <c r="M49" s="9">
        <v>77.0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5" t="s">
        <v>84</v>
      </c>
      <c r="B50" s="6"/>
      <c r="C50" s="12" t="s">
        <v>5</v>
      </c>
      <c r="D50" s="8">
        <f t="shared" si="3"/>
        <v>74.57142857</v>
      </c>
      <c r="E50" s="10"/>
      <c r="F50" s="10"/>
      <c r="G50" s="10"/>
      <c r="H50" s="10"/>
      <c r="I50" s="10"/>
      <c r="J50" s="10"/>
      <c r="K50" s="9">
        <v>69.0</v>
      </c>
      <c r="L50" s="9">
        <v>88.0</v>
      </c>
      <c r="M50" s="10"/>
      <c r="N50" s="10"/>
      <c r="O50" s="9">
        <v>72.0</v>
      </c>
      <c r="P50" s="9">
        <v>69.0</v>
      </c>
      <c r="Q50" s="9">
        <v>68.0</v>
      </c>
      <c r="R50" s="9">
        <v>93.0</v>
      </c>
      <c r="S50" s="9">
        <v>63.0</v>
      </c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5" t="s">
        <v>85</v>
      </c>
      <c r="B51" s="13" t="s">
        <v>86</v>
      </c>
      <c r="C51" s="7" t="s">
        <v>5</v>
      </c>
      <c r="D51" s="8">
        <f t="shared" si="3"/>
        <v>53</v>
      </c>
      <c r="E51" s="10"/>
      <c r="F51" s="10"/>
      <c r="G51" s="10"/>
      <c r="H51" s="10"/>
      <c r="I51" s="10"/>
      <c r="J51" s="9"/>
      <c r="K51" s="10"/>
      <c r="L51" s="10"/>
      <c r="M51" s="9">
        <v>51.0</v>
      </c>
      <c r="N51" s="9">
        <v>49.0</v>
      </c>
      <c r="O51" s="9">
        <v>47.0</v>
      </c>
      <c r="P51" s="9">
        <v>69.0</v>
      </c>
      <c r="Q51" s="9">
        <v>49.0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5" t="s">
        <v>87</v>
      </c>
      <c r="B52" s="16">
        <v>2688.0</v>
      </c>
      <c r="C52" s="17" t="s">
        <v>5</v>
      </c>
      <c r="D52" s="8">
        <f t="shared" si="3"/>
        <v>57.33333333</v>
      </c>
      <c r="E52" s="9">
        <v>62.0</v>
      </c>
      <c r="F52" s="9">
        <v>72.0</v>
      </c>
      <c r="G52" s="9">
        <v>69.0</v>
      </c>
      <c r="H52" s="11">
        <v>35.0</v>
      </c>
      <c r="I52" s="9">
        <v>61.0</v>
      </c>
      <c r="J52" s="9">
        <v>46.0</v>
      </c>
      <c r="K52" s="9">
        <v>80.0</v>
      </c>
      <c r="L52" s="9">
        <v>46.0</v>
      </c>
      <c r="M52" s="9">
        <v>45.0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5" t="s">
        <v>88</v>
      </c>
      <c r="B53" s="18" t="s">
        <v>89</v>
      </c>
      <c r="C53" s="17" t="s">
        <v>5</v>
      </c>
      <c r="D53" s="8">
        <f t="shared" si="3"/>
        <v>54.30769231</v>
      </c>
      <c r="E53" s="19">
        <v>68.0</v>
      </c>
      <c r="F53" s="19">
        <v>51.0</v>
      </c>
      <c r="G53" s="19">
        <v>54.0</v>
      </c>
      <c r="H53" s="19">
        <v>55.0</v>
      </c>
      <c r="I53" s="19">
        <v>66.0</v>
      </c>
      <c r="J53" s="19">
        <v>43.0</v>
      </c>
      <c r="K53" s="20">
        <v>31.0</v>
      </c>
      <c r="L53" s="19">
        <v>62.0</v>
      </c>
      <c r="M53" s="20">
        <v>27.0</v>
      </c>
      <c r="N53" s="19">
        <v>56.0</v>
      </c>
      <c r="O53" s="19">
        <v>87.0</v>
      </c>
      <c r="P53" s="19">
        <v>54.0</v>
      </c>
      <c r="Q53" s="19">
        <v>52.0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5" t="s">
        <v>90</v>
      </c>
      <c r="B54" s="13" t="s">
        <v>91</v>
      </c>
      <c r="C54" s="17" t="s">
        <v>5</v>
      </c>
      <c r="D54" s="8" t="str">
        <f t="shared" si="3"/>
        <v>#DIV/0!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B55" s="6"/>
      <c r="C55" s="10"/>
      <c r="D55" s="8" t="str">
        <f t="shared" si="3"/>
        <v>#DIV/0!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B56" s="6"/>
      <c r="C56" s="10"/>
      <c r="D56" s="8" t="str">
        <f t="shared" si="3"/>
        <v>#DIV/0!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B57" s="6"/>
      <c r="C57" s="10"/>
      <c r="D57" s="8" t="str">
        <f t="shared" si="3"/>
        <v>#DIV/0!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B58" s="6"/>
      <c r="C58" s="10"/>
      <c r="D58" s="8" t="str">
        <f t="shared" si="3"/>
        <v>#DIV/0!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B59" s="6"/>
      <c r="C59" s="10"/>
      <c r="D59" s="8" t="str">
        <f t="shared" si="3"/>
        <v>#DIV/0!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B60" s="6"/>
      <c r="C60" s="10"/>
      <c r="D60" s="8" t="str">
        <f t="shared" si="3"/>
        <v>#DIV/0!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B61" s="6"/>
      <c r="C61" s="10"/>
      <c r="D61" s="8" t="str">
        <f t="shared" si="3"/>
        <v>#DIV/0!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B62" s="6"/>
      <c r="C62" s="10"/>
      <c r="D62" s="8" t="str">
        <f t="shared" si="3"/>
        <v>#DIV/0!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B63" s="6"/>
      <c r="C63" s="10"/>
      <c r="D63" s="8" t="str">
        <f t="shared" si="3"/>
        <v>#DIV/0!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B64" s="6"/>
      <c r="C64" s="10"/>
      <c r="D64" s="2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B65" s="6"/>
      <c r="C65" s="10"/>
      <c r="D65" s="2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B66" s="6"/>
      <c r="C66" s="10"/>
      <c r="D66" s="2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B67" s="6"/>
      <c r="C67" s="10"/>
      <c r="D67" s="2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B68" s="6"/>
      <c r="C68" s="10"/>
      <c r="D68" s="2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B69" s="6"/>
      <c r="C69" s="10"/>
      <c r="D69" s="2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B70" s="6"/>
      <c r="C70" s="10"/>
      <c r="D70" s="2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B71" s="6"/>
      <c r="C71" s="10"/>
      <c r="D71" s="2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B72" s="6"/>
      <c r="C72" s="10"/>
      <c r="D72" s="2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B73" s="6"/>
      <c r="C73" s="10"/>
      <c r="D73" s="2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B74" s="6"/>
      <c r="C74" s="10"/>
      <c r="D74" s="2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B75" s="6"/>
      <c r="C75" s="10"/>
      <c r="D75" s="2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B76" s="6"/>
      <c r="C76" s="10"/>
      <c r="D76" s="2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B77" s="6"/>
      <c r="C77" s="10"/>
      <c r="D77" s="2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B78" s="6"/>
      <c r="C78" s="10"/>
      <c r="D78" s="2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B79" s="6"/>
      <c r="C79" s="10"/>
      <c r="D79" s="2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B80" s="6"/>
      <c r="C80" s="10"/>
      <c r="D80" s="2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B81" s="6"/>
      <c r="C81" s="10"/>
      <c r="D81" s="2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B82" s="6"/>
      <c r="C82" s="10"/>
      <c r="D82" s="2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B83" s="6"/>
      <c r="C83" s="10"/>
      <c r="D83" s="2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B84" s="6"/>
      <c r="C84" s="10"/>
      <c r="D84" s="2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B85" s="6"/>
      <c r="C85" s="10"/>
      <c r="D85" s="2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B86" s="6"/>
      <c r="C86" s="10"/>
      <c r="D86" s="2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B87" s="6"/>
      <c r="C87" s="10"/>
      <c r="D87" s="2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B88" s="6"/>
      <c r="C88" s="10"/>
      <c r="D88" s="2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B89" s="6"/>
      <c r="C89" s="10"/>
      <c r="D89" s="2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B90" s="6"/>
      <c r="C90" s="10"/>
      <c r="D90" s="2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B91" s="6"/>
      <c r="C91" s="10"/>
      <c r="D91" s="2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B92" s="6"/>
      <c r="C92" s="10"/>
      <c r="D92" s="2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B93" s="6"/>
      <c r="C93" s="10"/>
      <c r="D93" s="2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B94" s="6"/>
      <c r="C94" s="10"/>
      <c r="D94" s="2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B95" s="6"/>
      <c r="C95" s="10"/>
      <c r="D95" s="2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B96" s="6"/>
      <c r="C96" s="10"/>
      <c r="D96" s="2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B97" s="6"/>
      <c r="C97" s="10"/>
      <c r="D97" s="2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B98" s="6"/>
      <c r="C98" s="10"/>
      <c r="D98" s="2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B99" s="6"/>
      <c r="C99" s="10"/>
      <c r="D99" s="2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B100" s="6"/>
      <c r="C100" s="10"/>
      <c r="D100" s="2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B101" s="6"/>
      <c r="C101" s="10"/>
      <c r="D101" s="2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B102" s="6"/>
      <c r="C102" s="10"/>
      <c r="D102" s="21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B103" s="6"/>
      <c r="C103" s="10"/>
      <c r="D103" s="2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B104" s="6"/>
      <c r="C104" s="10"/>
      <c r="D104" s="2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B105" s="6"/>
      <c r="C105" s="10"/>
      <c r="D105" s="21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B106" s="6"/>
      <c r="C106" s="10"/>
      <c r="D106" s="21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B107" s="6"/>
      <c r="C107" s="10"/>
      <c r="D107" s="2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B108" s="6"/>
      <c r="C108" s="10"/>
      <c r="D108" s="21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B109" s="6"/>
      <c r="C109" s="10"/>
      <c r="D109" s="2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B110" s="6"/>
      <c r="C110" s="10"/>
      <c r="D110" s="2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B111" s="6"/>
      <c r="C111" s="10"/>
      <c r="D111" s="21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B112" s="6"/>
      <c r="C112" s="10"/>
      <c r="D112" s="2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B113" s="6"/>
      <c r="C113" s="10"/>
      <c r="D113" s="21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B114" s="6"/>
      <c r="C114" s="10"/>
      <c r="D114" s="2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B115" s="6"/>
      <c r="C115" s="10"/>
      <c r="D115" s="21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B116" s="6"/>
      <c r="C116" s="10"/>
      <c r="D116" s="2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B117" s="6"/>
      <c r="C117" s="10"/>
      <c r="D117" s="21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B118" s="6"/>
      <c r="C118" s="10"/>
      <c r="D118" s="21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B119" s="6"/>
      <c r="C119" s="10"/>
      <c r="D119" s="21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B120" s="6"/>
      <c r="C120" s="10"/>
      <c r="D120" s="21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B121" s="6"/>
      <c r="C121" s="10"/>
      <c r="D121" s="21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B122" s="6"/>
      <c r="C122" s="10"/>
      <c r="D122" s="2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B123" s="6"/>
      <c r="C123" s="10"/>
      <c r="D123" s="2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B124" s="6"/>
      <c r="C124" s="10"/>
      <c r="D124" s="2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B125" s="6"/>
      <c r="C125" s="10"/>
      <c r="D125" s="21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B126" s="6"/>
      <c r="C126" s="10"/>
      <c r="D126" s="21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B127" s="6"/>
      <c r="C127" s="10"/>
      <c r="D127" s="2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B128" s="6"/>
      <c r="C128" s="10"/>
      <c r="D128" s="21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B129" s="6"/>
      <c r="C129" s="10"/>
      <c r="D129" s="2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B130" s="6"/>
      <c r="C130" s="10"/>
      <c r="D130" s="21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B131" s="6"/>
      <c r="C131" s="10"/>
      <c r="D131" s="2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B132" s="6"/>
      <c r="C132" s="10"/>
      <c r="D132" s="21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B133" s="6"/>
      <c r="C133" s="10"/>
      <c r="D133" s="21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B134" s="6"/>
      <c r="C134" s="10"/>
      <c r="D134" s="21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B135" s="6"/>
      <c r="C135" s="10"/>
      <c r="D135" s="21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B136" s="6"/>
      <c r="C136" s="10"/>
      <c r="D136" s="21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B137" s="6"/>
      <c r="C137" s="10"/>
      <c r="D137" s="2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B138" s="6"/>
      <c r="C138" s="10"/>
      <c r="D138" s="21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B139" s="6"/>
      <c r="C139" s="10"/>
      <c r="D139" s="21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B140" s="6"/>
      <c r="C140" s="10"/>
      <c r="D140" s="21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B141" s="6"/>
      <c r="C141" s="10"/>
      <c r="D141" s="21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B142" s="6"/>
      <c r="C142" s="10"/>
      <c r="D142" s="21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B143" s="6"/>
      <c r="C143" s="10"/>
      <c r="D143" s="2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B144" s="6"/>
      <c r="C144" s="10"/>
      <c r="D144" s="21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B145" s="6"/>
      <c r="C145" s="10"/>
      <c r="D145" s="21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B146" s="6"/>
      <c r="C146" s="10"/>
      <c r="D146" s="21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B147" s="6"/>
      <c r="C147" s="10"/>
      <c r="D147" s="21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B148" s="6"/>
      <c r="C148" s="10"/>
      <c r="D148" s="2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B149" s="6"/>
      <c r="C149" s="10"/>
      <c r="D149" s="21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B150" s="6"/>
      <c r="C150" s="10"/>
      <c r="D150" s="2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B151" s="6"/>
      <c r="C151" s="10"/>
      <c r="D151" s="2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B152" s="6"/>
      <c r="C152" s="10"/>
      <c r="D152" s="2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B153" s="6"/>
      <c r="C153" s="10"/>
      <c r="D153" s="2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B154" s="6"/>
      <c r="C154" s="10"/>
      <c r="D154" s="2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B155" s="6"/>
      <c r="C155" s="10"/>
      <c r="D155" s="2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B156" s="6"/>
      <c r="C156" s="10"/>
      <c r="D156" s="2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B157" s="6"/>
      <c r="C157" s="10"/>
      <c r="D157" s="2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B158" s="6"/>
      <c r="C158" s="10"/>
      <c r="D158" s="2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B159" s="6"/>
      <c r="C159" s="10"/>
      <c r="D159" s="2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B160" s="6"/>
      <c r="C160" s="10"/>
      <c r="D160" s="21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B161" s="6"/>
      <c r="C161" s="10"/>
      <c r="D161" s="2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B162" s="6"/>
      <c r="C162" s="10"/>
      <c r="D162" s="2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B163" s="6"/>
      <c r="C163" s="10"/>
      <c r="D163" s="2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B164" s="6"/>
      <c r="C164" s="10"/>
      <c r="D164" s="2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B165" s="6"/>
      <c r="C165" s="10"/>
      <c r="D165" s="21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B166" s="6"/>
      <c r="C166" s="10"/>
      <c r="D166" s="21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B167" s="6"/>
      <c r="C167" s="10"/>
      <c r="D167" s="2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B168" s="6"/>
      <c r="C168" s="10"/>
      <c r="D168" s="2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B169" s="6"/>
      <c r="C169" s="10"/>
      <c r="D169" s="2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B170" s="6"/>
      <c r="C170" s="10"/>
      <c r="D170" s="2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B171" s="6"/>
      <c r="C171" s="10"/>
      <c r="D171" s="2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B172" s="6"/>
      <c r="C172" s="10"/>
      <c r="D172" s="2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B173" s="6"/>
      <c r="C173" s="10"/>
      <c r="D173" s="2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B174" s="6"/>
      <c r="C174" s="10"/>
      <c r="D174" s="2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B175" s="6"/>
      <c r="C175" s="10"/>
      <c r="D175" s="2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B176" s="6"/>
      <c r="C176" s="10"/>
      <c r="D176" s="2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B177" s="6"/>
      <c r="C177" s="10"/>
      <c r="D177" s="2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B178" s="6"/>
      <c r="C178" s="10"/>
      <c r="D178" s="2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B179" s="6"/>
      <c r="C179" s="10"/>
      <c r="D179" s="2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B180" s="6"/>
      <c r="C180" s="10"/>
      <c r="D180" s="2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B181" s="6"/>
      <c r="C181" s="10"/>
      <c r="D181" s="2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B182" s="6"/>
      <c r="C182" s="10"/>
      <c r="D182" s="2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B183" s="6"/>
      <c r="C183" s="10"/>
      <c r="D183" s="2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B184" s="6"/>
      <c r="C184" s="10"/>
      <c r="D184" s="21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B185" s="6"/>
      <c r="C185" s="10"/>
      <c r="D185" s="21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B186" s="6"/>
      <c r="C186" s="10"/>
      <c r="D186" s="21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B187" s="6"/>
      <c r="C187" s="10"/>
      <c r="D187" s="21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B188" s="6"/>
      <c r="C188" s="10"/>
      <c r="D188" s="21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B189" s="6"/>
      <c r="C189" s="10"/>
      <c r="D189" s="21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B190" s="6"/>
      <c r="C190" s="10"/>
      <c r="D190" s="21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B191" s="6"/>
      <c r="C191" s="10"/>
      <c r="D191" s="21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B192" s="6"/>
      <c r="C192" s="10"/>
      <c r="D192" s="21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B193" s="6"/>
      <c r="C193" s="10"/>
      <c r="D193" s="21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B194" s="6"/>
      <c r="C194" s="10"/>
      <c r="D194" s="21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B195" s="6"/>
      <c r="C195" s="10"/>
      <c r="D195" s="21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B196" s="6"/>
      <c r="C196" s="10"/>
      <c r="D196" s="21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B197" s="6"/>
      <c r="C197" s="10"/>
      <c r="D197" s="21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B198" s="6"/>
      <c r="C198" s="10"/>
      <c r="D198" s="21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B199" s="6"/>
      <c r="C199" s="10"/>
      <c r="D199" s="21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B200" s="6"/>
      <c r="C200" s="10"/>
      <c r="D200" s="21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B201" s="6"/>
      <c r="C201" s="10"/>
      <c r="D201" s="21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B202" s="6"/>
      <c r="C202" s="10"/>
      <c r="D202" s="21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B203" s="6"/>
      <c r="C203" s="10"/>
      <c r="D203" s="21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B204" s="6"/>
      <c r="C204" s="10"/>
      <c r="D204" s="21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B205" s="6"/>
      <c r="C205" s="10"/>
      <c r="D205" s="21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B206" s="6"/>
      <c r="C206" s="10"/>
      <c r="D206" s="21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B207" s="6"/>
      <c r="C207" s="10"/>
      <c r="D207" s="21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B208" s="6"/>
      <c r="C208" s="10"/>
      <c r="D208" s="21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B209" s="6"/>
      <c r="C209" s="10"/>
      <c r="D209" s="21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B210" s="6"/>
      <c r="C210" s="10"/>
      <c r="D210" s="21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B211" s="6"/>
      <c r="C211" s="10"/>
      <c r="D211" s="21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B212" s="6"/>
      <c r="C212" s="10"/>
      <c r="D212" s="21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B213" s="6"/>
      <c r="C213" s="10"/>
      <c r="D213" s="21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B214" s="6"/>
      <c r="C214" s="10"/>
      <c r="D214" s="21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B215" s="6"/>
      <c r="C215" s="10"/>
      <c r="D215" s="21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B216" s="6"/>
      <c r="C216" s="10"/>
      <c r="D216" s="21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B217" s="6"/>
      <c r="C217" s="10"/>
      <c r="D217" s="21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B218" s="6"/>
      <c r="C218" s="10"/>
      <c r="D218" s="21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B219" s="6"/>
      <c r="C219" s="10"/>
      <c r="D219" s="21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B220" s="6"/>
      <c r="C220" s="10"/>
      <c r="D220" s="21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B221" s="6"/>
      <c r="C221" s="10"/>
      <c r="D221" s="21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B222" s="6"/>
      <c r="C222" s="10"/>
      <c r="D222" s="21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B223" s="6"/>
      <c r="C223" s="10"/>
      <c r="D223" s="21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B224" s="6"/>
      <c r="C224" s="10"/>
      <c r="D224" s="21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B225" s="6"/>
      <c r="C225" s="10"/>
      <c r="D225" s="21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B226" s="6"/>
      <c r="C226" s="10"/>
      <c r="D226" s="21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B227" s="6"/>
      <c r="C227" s="10"/>
      <c r="D227" s="21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B228" s="6"/>
      <c r="C228" s="10"/>
      <c r="D228" s="21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B229" s="6"/>
      <c r="C229" s="10"/>
      <c r="D229" s="21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B230" s="6"/>
      <c r="C230" s="10"/>
      <c r="D230" s="21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B231" s="6"/>
      <c r="C231" s="10"/>
      <c r="D231" s="21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B232" s="6"/>
      <c r="C232" s="10"/>
      <c r="D232" s="21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B233" s="6"/>
      <c r="C233" s="10"/>
      <c r="D233" s="21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B234" s="6"/>
      <c r="C234" s="10"/>
      <c r="D234" s="21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B235" s="6"/>
      <c r="C235" s="10"/>
      <c r="D235" s="21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B236" s="6"/>
      <c r="C236" s="10"/>
      <c r="D236" s="21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B237" s="6"/>
      <c r="C237" s="10"/>
      <c r="D237" s="21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B238" s="6"/>
      <c r="C238" s="10"/>
      <c r="D238" s="21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B239" s="6"/>
      <c r="C239" s="10"/>
      <c r="D239" s="21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B240" s="6"/>
      <c r="C240" s="10"/>
      <c r="D240" s="21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B241" s="6"/>
      <c r="C241" s="10"/>
      <c r="D241" s="21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B242" s="6"/>
      <c r="C242" s="10"/>
      <c r="D242" s="21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B243" s="6"/>
      <c r="C243" s="10"/>
      <c r="D243" s="21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B244" s="6"/>
      <c r="C244" s="10"/>
      <c r="D244" s="21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B245" s="6"/>
      <c r="C245" s="10"/>
      <c r="D245" s="21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B246" s="6"/>
      <c r="C246" s="10"/>
      <c r="D246" s="21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B247" s="6"/>
      <c r="C247" s="10"/>
      <c r="D247" s="21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B248" s="6"/>
      <c r="C248" s="10"/>
      <c r="D248" s="21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B249" s="6"/>
      <c r="C249" s="10"/>
      <c r="D249" s="21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B250" s="6"/>
      <c r="C250" s="10"/>
      <c r="D250" s="21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B251" s="6"/>
      <c r="C251" s="10"/>
      <c r="D251" s="21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B252" s="6"/>
      <c r="C252" s="10"/>
      <c r="D252" s="21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B253" s="6"/>
      <c r="C253" s="10"/>
      <c r="D253" s="21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B254" s="6"/>
      <c r="C254" s="10"/>
      <c r="D254" s="21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B255" s="6"/>
      <c r="C255" s="10"/>
      <c r="D255" s="21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B256" s="6"/>
      <c r="C256" s="10"/>
      <c r="D256" s="21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B257" s="6"/>
      <c r="C257" s="10"/>
      <c r="D257" s="21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B258" s="6"/>
      <c r="C258" s="10"/>
      <c r="D258" s="21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B259" s="6"/>
      <c r="C259" s="10"/>
      <c r="D259" s="21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B260" s="6"/>
      <c r="C260" s="10"/>
      <c r="D260" s="21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B261" s="6"/>
      <c r="C261" s="10"/>
      <c r="D261" s="21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B262" s="6"/>
      <c r="C262" s="10"/>
      <c r="D262" s="21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B263" s="6"/>
      <c r="C263" s="10"/>
      <c r="D263" s="21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B264" s="6"/>
      <c r="C264" s="10"/>
      <c r="D264" s="21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B265" s="6"/>
      <c r="C265" s="10"/>
      <c r="D265" s="21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B266" s="6"/>
      <c r="C266" s="10"/>
      <c r="D266" s="21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B267" s="6"/>
      <c r="C267" s="10"/>
      <c r="D267" s="21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B268" s="6"/>
      <c r="C268" s="10"/>
      <c r="D268" s="21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B269" s="6"/>
      <c r="C269" s="10"/>
      <c r="D269" s="21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B270" s="6"/>
      <c r="C270" s="10"/>
      <c r="D270" s="21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B271" s="6"/>
      <c r="C271" s="10"/>
      <c r="D271" s="21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B272" s="6"/>
      <c r="C272" s="10"/>
      <c r="D272" s="21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B273" s="6"/>
      <c r="C273" s="10"/>
      <c r="D273" s="21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B274" s="6"/>
      <c r="C274" s="10"/>
      <c r="D274" s="21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B275" s="6"/>
      <c r="C275" s="10"/>
      <c r="D275" s="21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B276" s="6"/>
      <c r="C276" s="10"/>
      <c r="D276" s="21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B277" s="6"/>
      <c r="C277" s="10"/>
      <c r="D277" s="21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B278" s="6"/>
      <c r="C278" s="10"/>
      <c r="D278" s="21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B279" s="6"/>
      <c r="C279" s="10"/>
      <c r="D279" s="21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B280" s="6"/>
      <c r="C280" s="10"/>
      <c r="D280" s="21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B281" s="6"/>
      <c r="C281" s="10"/>
      <c r="D281" s="21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B282" s="6"/>
      <c r="C282" s="10"/>
      <c r="D282" s="21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B283" s="6"/>
      <c r="C283" s="10"/>
      <c r="D283" s="21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B284" s="6"/>
      <c r="C284" s="10"/>
      <c r="D284" s="21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B285" s="6"/>
      <c r="C285" s="10"/>
      <c r="D285" s="21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B286" s="6"/>
      <c r="C286" s="10"/>
      <c r="D286" s="21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B287" s="6"/>
      <c r="C287" s="10"/>
      <c r="D287" s="21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B288" s="6"/>
      <c r="C288" s="10"/>
      <c r="D288" s="21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B289" s="6"/>
      <c r="C289" s="10"/>
      <c r="D289" s="21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B290" s="6"/>
      <c r="C290" s="10"/>
      <c r="D290" s="21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B291" s="6"/>
      <c r="C291" s="10"/>
      <c r="D291" s="21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B292" s="6"/>
      <c r="C292" s="10"/>
      <c r="D292" s="21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B293" s="6"/>
      <c r="C293" s="10"/>
      <c r="D293" s="21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B294" s="6"/>
      <c r="C294" s="10"/>
      <c r="D294" s="21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B295" s="6"/>
      <c r="C295" s="10"/>
      <c r="D295" s="21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B296" s="6"/>
      <c r="C296" s="10"/>
      <c r="D296" s="21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B297" s="6"/>
      <c r="C297" s="10"/>
      <c r="D297" s="21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B298" s="6"/>
      <c r="C298" s="10"/>
      <c r="D298" s="21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B299" s="6"/>
      <c r="C299" s="10"/>
      <c r="D299" s="21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B300" s="6"/>
      <c r="C300" s="10"/>
      <c r="D300" s="21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B301" s="6"/>
      <c r="C301" s="10"/>
      <c r="D301" s="21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B302" s="6"/>
      <c r="C302" s="10"/>
      <c r="D302" s="21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B303" s="6"/>
      <c r="C303" s="10"/>
      <c r="D303" s="21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B304" s="6"/>
      <c r="C304" s="10"/>
      <c r="D304" s="21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B305" s="6"/>
      <c r="C305" s="10"/>
      <c r="D305" s="21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B306" s="6"/>
      <c r="C306" s="10"/>
      <c r="D306" s="21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B307" s="6"/>
      <c r="C307" s="10"/>
      <c r="D307" s="21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B308" s="6"/>
      <c r="C308" s="10"/>
      <c r="D308" s="21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B309" s="6"/>
      <c r="C309" s="10"/>
      <c r="D309" s="21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B310" s="6"/>
      <c r="C310" s="10"/>
      <c r="D310" s="21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B311" s="6"/>
      <c r="C311" s="10"/>
      <c r="D311" s="21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B312" s="6"/>
      <c r="C312" s="10"/>
      <c r="D312" s="21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B313" s="6"/>
      <c r="C313" s="10"/>
      <c r="D313" s="21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B314" s="6"/>
      <c r="C314" s="10"/>
      <c r="D314" s="21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B315" s="6"/>
      <c r="C315" s="10"/>
      <c r="D315" s="21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B316" s="6"/>
      <c r="C316" s="10"/>
      <c r="D316" s="21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B317" s="6"/>
      <c r="C317" s="10"/>
      <c r="D317" s="21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B318" s="6"/>
      <c r="C318" s="10"/>
      <c r="D318" s="21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B319" s="6"/>
      <c r="C319" s="10"/>
      <c r="D319" s="21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B320" s="6"/>
      <c r="C320" s="10"/>
      <c r="D320" s="21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B321" s="6"/>
      <c r="C321" s="10"/>
      <c r="D321" s="21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B322" s="6"/>
      <c r="C322" s="10"/>
      <c r="D322" s="21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B323" s="6"/>
      <c r="C323" s="10"/>
      <c r="D323" s="21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B324" s="6"/>
      <c r="C324" s="10"/>
      <c r="D324" s="21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B325" s="6"/>
      <c r="C325" s="10"/>
      <c r="D325" s="21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B326" s="6"/>
      <c r="C326" s="10"/>
      <c r="D326" s="21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B327" s="6"/>
      <c r="C327" s="10"/>
      <c r="D327" s="21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B328" s="6"/>
      <c r="C328" s="10"/>
      <c r="D328" s="21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B329" s="6"/>
      <c r="C329" s="10"/>
      <c r="D329" s="21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B330" s="6"/>
      <c r="C330" s="10"/>
      <c r="D330" s="21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B331" s="6"/>
      <c r="C331" s="10"/>
      <c r="D331" s="21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B332" s="6"/>
      <c r="C332" s="10"/>
      <c r="D332" s="21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B333" s="6"/>
      <c r="C333" s="10"/>
      <c r="D333" s="21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B334" s="6"/>
      <c r="C334" s="10"/>
      <c r="D334" s="21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B335" s="6"/>
      <c r="C335" s="10"/>
      <c r="D335" s="21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B336" s="6"/>
      <c r="C336" s="10"/>
      <c r="D336" s="21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B337" s="6"/>
      <c r="C337" s="10"/>
      <c r="D337" s="21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B338" s="6"/>
      <c r="C338" s="10"/>
      <c r="D338" s="2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B339" s="6"/>
      <c r="C339" s="10"/>
      <c r="D339" s="2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B340" s="6"/>
      <c r="C340" s="10"/>
      <c r="D340" s="2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B341" s="6"/>
      <c r="C341" s="10"/>
      <c r="D341" s="2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B342" s="6"/>
      <c r="C342" s="10"/>
      <c r="D342" s="2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B343" s="6"/>
      <c r="C343" s="10"/>
      <c r="D343" s="2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B344" s="6"/>
      <c r="C344" s="10"/>
      <c r="D344" s="2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B345" s="6"/>
      <c r="C345" s="10"/>
      <c r="D345" s="2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B346" s="6"/>
      <c r="C346" s="10"/>
      <c r="D346" s="2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B347" s="6"/>
      <c r="C347" s="10"/>
      <c r="D347" s="2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B348" s="6"/>
      <c r="C348" s="10"/>
      <c r="D348" s="2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B349" s="6"/>
      <c r="C349" s="10"/>
      <c r="D349" s="2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B350" s="6"/>
      <c r="C350" s="10"/>
      <c r="D350" s="2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B351" s="6"/>
      <c r="C351" s="10"/>
      <c r="D351" s="2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B352" s="6"/>
      <c r="C352" s="10"/>
      <c r="D352" s="2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B353" s="6"/>
      <c r="C353" s="10"/>
      <c r="D353" s="2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B354" s="6"/>
      <c r="C354" s="10"/>
      <c r="D354" s="2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B355" s="6"/>
      <c r="C355" s="10"/>
      <c r="D355" s="2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B356" s="6"/>
      <c r="C356" s="10"/>
      <c r="D356" s="2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B357" s="6"/>
      <c r="C357" s="10"/>
      <c r="D357" s="2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B358" s="6"/>
      <c r="C358" s="10"/>
      <c r="D358" s="2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B359" s="6"/>
      <c r="C359" s="10"/>
      <c r="D359" s="2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B360" s="6"/>
      <c r="C360" s="10"/>
      <c r="D360" s="2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B361" s="6"/>
      <c r="C361" s="10"/>
      <c r="D361" s="2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B362" s="6"/>
      <c r="C362" s="10"/>
      <c r="D362" s="2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B363" s="6"/>
      <c r="C363" s="10"/>
      <c r="D363" s="2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B364" s="6"/>
      <c r="C364" s="10"/>
      <c r="D364" s="2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B365" s="6"/>
      <c r="C365" s="10"/>
      <c r="D365" s="2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B366" s="6"/>
      <c r="C366" s="10"/>
      <c r="D366" s="2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B367" s="6"/>
      <c r="C367" s="10"/>
      <c r="D367" s="2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B368" s="6"/>
      <c r="C368" s="10"/>
      <c r="D368" s="2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B369" s="6"/>
      <c r="C369" s="10"/>
      <c r="D369" s="2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B370" s="6"/>
      <c r="C370" s="10"/>
      <c r="D370" s="2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B371" s="6"/>
      <c r="C371" s="10"/>
      <c r="D371" s="21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B372" s="6"/>
      <c r="C372" s="10"/>
      <c r="D372" s="21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B373" s="6"/>
      <c r="C373" s="10"/>
      <c r="D373" s="21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B374" s="6"/>
      <c r="C374" s="10"/>
      <c r="D374" s="21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B375" s="6"/>
      <c r="C375" s="10"/>
      <c r="D375" s="21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B376" s="6"/>
      <c r="C376" s="10"/>
      <c r="D376" s="21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B377" s="6"/>
      <c r="C377" s="10"/>
      <c r="D377" s="21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B378" s="6"/>
      <c r="C378" s="10"/>
      <c r="D378" s="21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B379" s="6"/>
      <c r="C379" s="10"/>
      <c r="D379" s="21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B380" s="6"/>
      <c r="C380" s="10"/>
      <c r="D380" s="21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B381" s="6"/>
      <c r="C381" s="10"/>
      <c r="D381" s="21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B382" s="6"/>
      <c r="C382" s="10"/>
      <c r="D382" s="21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B383" s="6"/>
      <c r="C383" s="10"/>
      <c r="D383" s="21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B384" s="6"/>
      <c r="C384" s="10"/>
      <c r="D384" s="21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B385" s="6"/>
      <c r="C385" s="10"/>
      <c r="D385" s="21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B386" s="6"/>
      <c r="C386" s="10"/>
      <c r="D386" s="21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B387" s="6"/>
      <c r="C387" s="10"/>
      <c r="D387" s="21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B388" s="6"/>
      <c r="C388" s="10"/>
      <c r="D388" s="21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B389" s="6"/>
      <c r="C389" s="10"/>
      <c r="D389" s="21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B390" s="6"/>
      <c r="C390" s="10"/>
      <c r="D390" s="21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B391" s="6"/>
      <c r="C391" s="10"/>
      <c r="D391" s="21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B392" s="6"/>
      <c r="C392" s="10"/>
      <c r="D392" s="21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B393" s="6"/>
      <c r="C393" s="10"/>
      <c r="D393" s="21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B394" s="6"/>
      <c r="C394" s="10"/>
      <c r="D394" s="21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B395" s="6"/>
      <c r="C395" s="10"/>
      <c r="D395" s="21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B396" s="6"/>
      <c r="C396" s="10"/>
      <c r="D396" s="21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B397" s="6"/>
      <c r="C397" s="10"/>
      <c r="D397" s="21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B398" s="6"/>
      <c r="C398" s="10"/>
      <c r="D398" s="21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B399" s="6"/>
      <c r="C399" s="10"/>
      <c r="D399" s="21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B400" s="6"/>
      <c r="C400" s="10"/>
      <c r="D400" s="21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B401" s="6"/>
      <c r="C401" s="10"/>
      <c r="D401" s="21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B402" s="6"/>
      <c r="C402" s="10"/>
      <c r="D402" s="21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B403" s="6"/>
      <c r="C403" s="10"/>
      <c r="D403" s="21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B404" s="6"/>
      <c r="C404" s="10"/>
      <c r="D404" s="21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B405" s="6"/>
      <c r="C405" s="10"/>
      <c r="D405" s="21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B406" s="6"/>
      <c r="C406" s="10"/>
      <c r="D406" s="21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B407" s="6"/>
      <c r="C407" s="10"/>
      <c r="D407" s="21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B408" s="6"/>
      <c r="C408" s="10"/>
      <c r="D408" s="21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B409" s="6"/>
      <c r="C409" s="10"/>
      <c r="D409" s="21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B410" s="6"/>
      <c r="C410" s="10"/>
      <c r="D410" s="21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B411" s="6"/>
      <c r="C411" s="10"/>
      <c r="D411" s="21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B412" s="6"/>
      <c r="C412" s="10"/>
      <c r="D412" s="21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B413" s="6"/>
      <c r="C413" s="10"/>
      <c r="D413" s="21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B414" s="6"/>
      <c r="C414" s="10"/>
      <c r="D414" s="21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B415" s="6"/>
      <c r="C415" s="10"/>
      <c r="D415" s="21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B416" s="6"/>
      <c r="C416" s="10"/>
      <c r="D416" s="21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B417" s="6"/>
      <c r="C417" s="10"/>
      <c r="D417" s="21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B418" s="6"/>
      <c r="C418" s="10"/>
      <c r="D418" s="21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B419" s="6"/>
      <c r="C419" s="10"/>
      <c r="D419" s="21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B420" s="6"/>
      <c r="C420" s="10"/>
      <c r="D420" s="21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B421" s="6"/>
      <c r="C421" s="10"/>
      <c r="D421" s="21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B422" s="6"/>
      <c r="C422" s="10"/>
      <c r="D422" s="21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B423" s="6"/>
      <c r="C423" s="10"/>
      <c r="D423" s="21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B424" s="6"/>
      <c r="C424" s="10"/>
      <c r="D424" s="21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B425" s="6"/>
      <c r="C425" s="10"/>
      <c r="D425" s="21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B426" s="6"/>
      <c r="C426" s="10"/>
      <c r="D426" s="21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B427" s="6"/>
      <c r="C427" s="10"/>
      <c r="D427" s="21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B428" s="6"/>
      <c r="C428" s="10"/>
      <c r="D428" s="21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B429" s="6"/>
      <c r="C429" s="10"/>
      <c r="D429" s="21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B430" s="6"/>
      <c r="C430" s="10"/>
      <c r="D430" s="21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B431" s="6"/>
      <c r="C431" s="10"/>
      <c r="D431" s="21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B432" s="6"/>
      <c r="C432" s="10"/>
      <c r="D432" s="21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B433" s="6"/>
      <c r="C433" s="10"/>
      <c r="D433" s="21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B434" s="6"/>
      <c r="C434" s="10"/>
      <c r="D434" s="21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B435" s="6"/>
      <c r="C435" s="10"/>
      <c r="D435" s="21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B436" s="6"/>
      <c r="C436" s="10"/>
      <c r="D436" s="21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B437" s="6"/>
      <c r="C437" s="10"/>
      <c r="D437" s="21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B438" s="6"/>
      <c r="C438" s="10"/>
      <c r="D438" s="21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B439" s="6"/>
      <c r="C439" s="10"/>
      <c r="D439" s="21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B440" s="6"/>
      <c r="C440" s="10"/>
      <c r="D440" s="21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B441" s="6"/>
      <c r="C441" s="10"/>
      <c r="D441" s="21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B442" s="6"/>
      <c r="C442" s="10"/>
      <c r="D442" s="21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B443" s="6"/>
      <c r="C443" s="10"/>
      <c r="D443" s="21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B444" s="6"/>
      <c r="C444" s="10"/>
      <c r="D444" s="21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B445" s="6"/>
      <c r="C445" s="10"/>
      <c r="D445" s="21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B446" s="6"/>
      <c r="C446" s="10"/>
      <c r="D446" s="21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B447" s="6"/>
      <c r="C447" s="10"/>
      <c r="D447" s="21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B448" s="6"/>
      <c r="C448" s="10"/>
      <c r="D448" s="21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B449" s="6"/>
      <c r="C449" s="10"/>
      <c r="D449" s="21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B450" s="6"/>
      <c r="C450" s="10"/>
      <c r="D450" s="21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B451" s="6"/>
      <c r="C451" s="10"/>
      <c r="D451" s="21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B452" s="6"/>
      <c r="C452" s="10"/>
      <c r="D452" s="21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B453" s="6"/>
      <c r="C453" s="10"/>
      <c r="D453" s="21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B454" s="6"/>
      <c r="C454" s="10"/>
      <c r="D454" s="21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B455" s="6"/>
      <c r="C455" s="10"/>
      <c r="D455" s="21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B456" s="6"/>
      <c r="C456" s="10"/>
      <c r="D456" s="21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B457" s="6"/>
      <c r="C457" s="10"/>
      <c r="D457" s="21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B458" s="6"/>
      <c r="C458" s="10"/>
      <c r="D458" s="21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B459" s="6"/>
      <c r="C459" s="10"/>
      <c r="D459" s="21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B460" s="6"/>
      <c r="C460" s="10"/>
      <c r="D460" s="21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B461" s="6"/>
      <c r="C461" s="10"/>
      <c r="D461" s="21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B462" s="6"/>
      <c r="C462" s="10"/>
      <c r="D462" s="21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B463" s="6"/>
      <c r="C463" s="10"/>
      <c r="D463" s="21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B464" s="6"/>
      <c r="C464" s="10"/>
      <c r="D464" s="21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B465" s="6"/>
      <c r="C465" s="10"/>
      <c r="D465" s="21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B466" s="6"/>
      <c r="C466" s="10"/>
      <c r="D466" s="21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B467" s="6"/>
      <c r="C467" s="10"/>
      <c r="D467" s="21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B468" s="6"/>
      <c r="C468" s="10"/>
      <c r="D468" s="21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B469" s="6"/>
      <c r="C469" s="10"/>
      <c r="D469" s="21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B470" s="6"/>
      <c r="C470" s="10"/>
      <c r="D470" s="21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B471" s="6"/>
      <c r="C471" s="10"/>
      <c r="D471" s="21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B472" s="6"/>
      <c r="C472" s="10"/>
      <c r="D472" s="21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B473" s="6"/>
      <c r="C473" s="10"/>
      <c r="D473" s="21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B474" s="6"/>
      <c r="C474" s="10"/>
      <c r="D474" s="21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B475" s="6"/>
      <c r="C475" s="10"/>
      <c r="D475" s="21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B476" s="6"/>
      <c r="C476" s="10"/>
      <c r="D476" s="21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B477" s="6"/>
      <c r="C477" s="10"/>
      <c r="D477" s="21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B478" s="6"/>
      <c r="C478" s="10"/>
      <c r="D478" s="21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B479" s="6"/>
      <c r="C479" s="10"/>
      <c r="D479" s="21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B480" s="6"/>
      <c r="C480" s="10"/>
      <c r="D480" s="21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B481" s="6"/>
      <c r="C481" s="10"/>
      <c r="D481" s="21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B482" s="6"/>
      <c r="C482" s="10"/>
      <c r="D482" s="21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B483" s="6"/>
      <c r="C483" s="10"/>
      <c r="D483" s="21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B484" s="6"/>
      <c r="C484" s="10"/>
      <c r="D484" s="21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B485" s="6"/>
      <c r="C485" s="10"/>
      <c r="D485" s="21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B486" s="6"/>
      <c r="C486" s="10"/>
      <c r="D486" s="21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B487" s="6"/>
      <c r="C487" s="10"/>
      <c r="D487" s="21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B488" s="6"/>
      <c r="C488" s="10"/>
      <c r="D488" s="21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B489" s="6"/>
      <c r="C489" s="10"/>
      <c r="D489" s="21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B490" s="6"/>
      <c r="C490" s="10"/>
      <c r="D490" s="21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B491" s="6"/>
      <c r="C491" s="10"/>
      <c r="D491" s="21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B492" s="6"/>
      <c r="C492" s="10"/>
      <c r="D492" s="21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B493" s="6"/>
      <c r="C493" s="10"/>
      <c r="D493" s="21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B494" s="6"/>
      <c r="C494" s="10"/>
      <c r="D494" s="21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B495" s="6"/>
      <c r="C495" s="10"/>
      <c r="D495" s="21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B496" s="6"/>
      <c r="C496" s="10"/>
      <c r="D496" s="21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B497" s="6"/>
      <c r="C497" s="10"/>
      <c r="D497" s="21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B498" s="6"/>
      <c r="C498" s="10"/>
      <c r="D498" s="21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B499" s="6"/>
      <c r="C499" s="10"/>
      <c r="D499" s="21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B500" s="6"/>
      <c r="C500" s="10"/>
      <c r="D500" s="21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B501" s="6"/>
      <c r="C501" s="10"/>
      <c r="D501" s="21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B502" s="6"/>
      <c r="C502" s="10"/>
      <c r="D502" s="21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B503" s="6"/>
      <c r="C503" s="10"/>
      <c r="D503" s="21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B504" s="6"/>
      <c r="C504" s="10"/>
      <c r="D504" s="21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B505" s="6"/>
      <c r="C505" s="10"/>
      <c r="D505" s="21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B506" s="6"/>
      <c r="C506" s="10"/>
      <c r="D506" s="21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B507" s="6"/>
      <c r="C507" s="10"/>
      <c r="D507" s="21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B508" s="6"/>
      <c r="C508" s="10"/>
      <c r="D508" s="21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B509" s="6"/>
      <c r="C509" s="10"/>
      <c r="D509" s="21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B510" s="6"/>
      <c r="C510" s="10"/>
      <c r="D510" s="21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B511" s="6"/>
      <c r="C511" s="10"/>
      <c r="D511" s="21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B512" s="6"/>
      <c r="C512" s="10"/>
      <c r="D512" s="21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B513" s="6"/>
      <c r="C513" s="10"/>
      <c r="D513" s="21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B514" s="6"/>
      <c r="C514" s="10"/>
      <c r="D514" s="21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B515" s="6"/>
      <c r="C515" s="10"/>
      <c r="D515" s="21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B516" s="6"/>
      <c r="C516" s="10"/>
      <c r="D516" s="21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B517" s="6"/>
      <c r="C517" s="10"/>
      <c r="D517" s="21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B518" s="6"/>
      <c r="C518" s="10"/>
      <c r="D518" s="21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B519" s="6"/>
      <c r="C519" s="10"/>
      <c r="D519" s="21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B520" s="6"/>
      <c r="C520" s="10"/>
      <c r="D520" s="21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B521" s="6"/>
      <c r="C521" s="10"/>
      <c r="D521" s="21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B522" s="6"/>
      <c r="C522" s="10"/>
      <c r="D522" s="21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B523" s="6"/>
      <c r="C523" s="10"/>
      <c r="D523" s="21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B524" s="6"/>
      <c r="C524" s="10"/>
      <c r="D524" s="21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B525" s="6"/>
      <c r="C525" s="10"/>
      <c r="D525" s="21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B526" s="6"/>
      <c r="C526" s="10"/>
      <c r="D526" s="21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B527" s="6"/>
      <c r="C527" s="10"/>
      <c r="D527" s="21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B528" s="6"/>
      <c r="C528" s="10"/>
      <c r="D528" s="21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B529" s="6"/>
      <c r="C529" s="10"/>
      <c r="D529" s="21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B530" s="6"/>
      <c r="C530" s="10"/>
      <c r="D530" s="21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B531" s="6"/>
      <c r="C531" s="10"/>
      <c r="D531" s="21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B532" s="6"/>
      <c r="C532" s="10"/>
      <c r="D532" s="21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B533" s="6"/>
      <c r="C533" s="10"/>
      <c r="D533" s="21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B534" s="6"/>
      <c r="C534" s="10"/>
      <c r="D534" s="21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B535" s="6"/>
      <c r="C535" s="10"/>
      <c r="D535" s="21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B536" s="6"/>
      <c r="C536" s="10"/>
      <c r="D536" s="21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B537" s="6"/>
      <c r="C537" s="10"/>
      <c r="D537" s="21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B538" s="6"/>
      <c r="C538" s="10"/>
      <c r="D538" s="21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B539" s="6"/>
      <c r="C539" s="10"/>
      <c r="D539" s="21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B540" s="6"/>
      <c r="C540" s="10"/>
      <c r="D540" s="21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B541" s="6"/>
      <c r="C541" s="10"/>
      <c r="D541" s="21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B542" s="6"/>
      <c r="C542" s="10"/>
      <c r="D542" s="21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B543" s="6"/>
      <c r="C543" s="10"/>
      <c r="D543" s="21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B544" s="6"/>
      <c r="C544" s="10"/>
      <c r="D544" s="21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B545" s="6"/>
      <c r="C545" s="10"/>
      <c r="D545" s="21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B546" s="6"/>
      <c r="C546" s="10"/>
      <c r="D546" s="21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B547" s="6"/>
      <c r="C547" s="10"/>
      <c r="D547" s="21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B548" s="6"/>
      <c r="C548" s="10"/>
      <c r="D548" s="21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B549" s="6"/>
      <c r="C549" s="10"/>
      <c r="D549" s="21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B550" s="6"/>
      <c r="C550" s="10"/>
      <c r="D550" s="21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B551" s="6"/>
      <c r="C551" s="10"/>
      <c r="D551" s="21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B552" s="6"/>
      <c r="C552" s="10"/>
      <c r="D552" s="21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B553" s="6"/>
      <c r="C553" s="10"/>
      <c r="D553" s="21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B554" s="6"/>
      <c r="C554" s="10"/>
      <c r="D554" s="21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B555" s="6"/>
      <c r="C555" s="10"/>
      <c r="D555" s="21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B556" s="6"/>
      <c r="C556" s="10"/>
      <c r="D556" s="21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B557" s="6"/>
      <c r="C557" s="10"/>
      <c r="D557" s="21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B558" s="6"/>
      <c r="C558" s="10"/>
      <c r="D558" s="21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B559" s="6"/>
      <c r="C559" s="10"/>
      <c r="D559" s="21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B560" s="6"/>
      <c r="C560" s="10"/>
      <c r="D560" s="21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B561" s="6"/>
      <c r="C561" s="10"/>
      <c r="D561" s="21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B562" s="6"/>
      <c r="C562" s="10"/>
      <c r="D562" s="21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B563" s="6"/>
      <c r="C563" s="10"/>
      <c r="D563" s="21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B564" s="6"/>
      <c r="C564" s="10"/>
      <c r="D564" s="21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B565" s="6"/>
      <c r="C565" s="10"/>
      <c r="D565" s="21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B566" s="6"/>
      <c r="C566" s="10"/>
      <c r="D566" s="21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B567" s="6"/>
      <c r="C567" s="10"/>
      <c r="D567" s="21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B568" s="6"/>
      <c r="C568" s="10"/>
      <c r="D568" s="21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B569" s="6"/>
      <c r="C569" s="10"/>
      <c r="D569" s="21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B570" s="6"/>
      <c r="C570" s="10"/>
      <c r="D570" s="21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B571" s="6"/>
      <c r="C571" s="10"/>
      <c r="D571" s="21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B572" s="6"/>
      <c r="C572" s="10"/>
      <c r="D572" s="21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B573" s="6"/>
      <c r="C573" s="10"/>
      <c r="D573" s="21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B574" s="6"/>
      <c r="C574" s="10"/>
      <c r="D574" s="21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B575" s="6"/>
      <c r="C575" s="10"/>
      <c r="D575" s="21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B576" s="6"/>
      <c r="C576" s="10"/>
      <c r="D576" s="21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B577" s="6"/>
      <c r="C577" s="10"/>
      <c r="D577" s="21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B578" s="6"/>
      <c r="C578" s="10"/>
      <c r="D578" s="21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B579" s="6"/>
      <c r="C579" s="10"/>
      <c r="D579" s="21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B580" s="6"/>
      <c r="C580" s="10"/>
      <c r="D580" s="21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B581" s="6"/>
      <c r="C581" s="10"/>
      <c r="D581" s="21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B582" s="6"/>
      <c r="C582" s="10"/>
      <c r="D582" s="21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B583" s="6"/>
      <c r="C583" s="10"/>
      <c r="D583" s="21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B584" s="6"/>
      <c r="C584" s="10"/>
      <c r="D584" s="21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B585" s="6"/>
      <c r="C585" s="10"/>
      <c r="D585" s="21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B586" s="6"/>
      <c r="C586" s="10"/>
      <c r="D586" s="21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B587" s="6"/>
      <c r="C587" s="10"/>
      <c r="D587" s="21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B588" s="6"/>
      <c r="C588" s="10"/>
      <c r="D588" s="21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B589" s="6"/>
      <c r="C589" s="10"/>
      <c r="D589" s="21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B590" s="6"/>
      <c r="C590" s="10"/>
      <c r="D590" s="21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B591" s="6"/>
      <c r="C591" s="10"/>
      <c r="D591" s="21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B592" s="6"/>
      <c r="C592" s="10"/>
      <c r="D592" s="21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B593" s="6"/>
      <c r="C593" s="10"/>
      <c r="D593" s="21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B594" s="6"/>
      <c r="C594" s="10"/>
      <c r="D594" s="21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B595" s="6"/>
      <c r="C595" s="10"/>
      <c r="D595" s="21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B596" s="6"/>
      <c r="C596" s="10"/>
      <c r="D596" s="21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B597" s="6"/>
      <c r="C597" s="10"/>
      <c r="D597" s="21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B598" s="6"/>
      <c r="C598" s="10"/>
      <c r="D598" s="21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B599" s="6"/>
      <c r="C599" s="10"/>
      <c r="D599" s="21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B600" s="6"/>
      <c r="C600" s="10"/>
      <c r="D600" s="21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B601" s="6"/>
      <c r="C601" s="10"/>
      <c r="D601" s="21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B602" s="6"/>
      <c r="C602" s="10"/>
      <c r="D602" s="21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B603" s="6"/>
      <c r="C603" s="10"/>
      <c r="D603" s="21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B604" s="6"/>
      <c r="C604" s="10"/>
      <c r="D604" s="21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B605" s="6"/>
      <c r="C605" s="10"/>
      <c r="D605" s="21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B606" s="6"/>
      <c r="C606" s="10"/>
      <c r="D606" s="21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B607" s="6"/>
      <c r="C607" s="10"/>
      <c r="D607" s="21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B608" s="6"/>
      <c r="C608" s="10"/>
      <c r="D608" s="21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B609" s="6"/>
      <c r="C609" s="10"/>
      <c r="D609" s="21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B610" s="6"/>
      <c r="C610" s="10"/>
      <c r="D610" s="21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B611" s="6"/>
      <c r="C611" s="10"/>
      <c r="D611" s="21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B612" s="6"/>
      <c r="C612" s="10"/>
      <c r="D612" s="21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B613" s="6"/>
      <c r="C613" s="10"/>
      <c r="D613" s="21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B614" s="6"/>
      <c r="C614" s="10"/>
      <c r="D614" s="21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B615" s="6"/>
      <c r="C615" s="10"/>
      <c r="D615" s="21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B616" s="6"/>
      <c r="C616" s="10"/>
      <c r="D616" s="21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B617" s="6"/>
      <c r="C617" s="10"/>
      <c r="D617" s="21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B618" s="6"/>
      <c r="C618" s="10"/>
      <c r="D618" s="21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B619" s="6"/>
      <c r="C619" s="10"/>
      <c r="D619" s="21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B620" s="6"/>
      <c r="C620" s="10"/>
      <c r="D620" s="21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B621" s="6"/>
      <c r="C621" s="10"/>
      <c r="D621" s="21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B622" s="6"/>
      <c r="C622" s="10"/>
      <c r="D622" s="21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B623" s="6"/>
      <c r="C623" s="10"/>
      <c r="D623" s="21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B624" s="6"/>
      <c r="C624" s="10"/>
      <c r="D624" s="21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B625" s="6"/>
      <c r="C625" s="10"/>
      <c r="D625" s="21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B626" s="6"/>
      <c r="C626" s="10"/>
      <c r="D626" s="21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B627" s="6"/>
      <c r="C627" s="10"/>
      <c r="D627" s="21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B628" s="6"/>
      <c r="C628" s="10"/>
      <c r="D628" s="21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B629" s="6"/>
      <c r="C629" s="10"/>
      <c r="D629" s="21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B630" s="6"/>
      <c r="C630" s="10"/>
      <c r="D630" s="21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B631" s="6"/>
      <c r="C631" s="10"/>
      <c r="D631" s="21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B632" s="6"/>
      <c r="C632" s="10"/>
      <c r="D632" s="21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B633" s="6"/>
      <c r="C633" s="10"/>
      <c r="D633" s="21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B634" s="6"/>
      <c r="C634" s="10"/>
      <c r="D634" s="21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B635" s="6"/>
      <c r="C635" s="10"/>
      <c r="D635" s="21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B636" s="6"/>
      <c r="C636" s="10"/>
      <c r="D636" s="21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B637" s="6"/>
      <c r="C637" s="10"/>
      <c r="D637" s="21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B638" s="6"/>
      <c r="C638" s="10"/>
      <c r="D638" s="21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B639" s="6"/>
      <c r="C639" s="10"/>
      <c r="D639" s="21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B640" s="6"/>
      <c r="C640" s="10"/>
      <c r="D640" s="21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B641" s="6"/>
      <c r="C641" s="10"/>
      <c r="D641" s="21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B642" s="6"/>
      <c r="C642" s="10"/>
      <c r="D642" s="21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B643" s="6"/>
      <c r="C643" s="10"/>
      <c r="D643" s="21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B644" s="6"/>
      <c r="C644" s="10"/>
      <c r="D644" s="21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B645" s="6"/>
      <c r="C645" s="10"/>
      <c r="D645" s="21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B646" s="6"/>
      <c r="C646" s="10"/>
      <c r="D646" s="21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B647" s="6"/>
      <c r="C647" s="10"/>
      <c r="D647" s="21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B648" s="6"/>
      <c r="C648" s="10"/>
      <c r="D648" s="21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B649" s="6"/>
      <c r="C649" s="10"/>
      <c r="D649" s="21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B650" s="6"/>
      <c r="C650" s="10"/>
      <c r="D650" s="21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B651" s="6"/>
      <c r="C651" s="10"/>
      <c r="D651" s="21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B652" s="6"/>
      <c r="C652" s="10"/>
      <c r="D652" s="21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B653" s="6"/>
      <c r="C653" s="10"/>
      <c r="D653" s="21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B654" s="6"/>
      <c r="C654" s="10"/>
      <c r="D654" s="21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B655" s="6"/>
      <c r="C655" s="10"/>
      <c r="D655" s="21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B656" s="6"/>
      <c r="C656" s="10"/>
      <c r="D656" s="21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B657" s="6"/>
      <c r="C657" s="10"/>
      <c r="D657" s="21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B658" s="6"/>
      <c r="C658" s="10"/>
      <c r="D658" s="21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B659" s="6"/>
      <c r="C659" s="10"/>
      <c r="D659" s="21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B660" s="6"/>
      <c r="C660" s="10"/>
      <c r="D660" s="21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B661" s="6"/>
      <c r="C661" s="10"/>
      <c r="D661" s="21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B662" s="6"/>
      <c r="C662" s="10"/>
      <c r="D662" s="21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B663" s="6"/>
      <c r="C663" s="10"/>
      <c r="D663" s="21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B664" s="6"/>
      <c r="C664" s="10"/>
      <c r="D664" s="21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B665" s="6"/>
      <c r="C665" s="10"/>
      <c r="D665" s="21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B666" s="6"/>
      <c r="C666" s="10"/>
      <c r="D666" s="21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B667" s="6"/>
      <c r="C667" s="10"/>
      <c r="D667" s="21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B668" s="6"/>
      <c r="C668" s="10"/>
      <c r="D668" s="21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B669" s="6"/>
      <c r="C669" s="10"/>
      <c r="D669" s="21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B670" s="6"/>
      <c r="C670" s="10"/>
      <c r="D670" s="21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B671" s="6"/>
      <c r="C671" s="10"/>
      <c r="D671" s="21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B672" s="6"/>
      <c r="C672" s="10"/>
      <c r="D672" s="21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B673" s="6"/>
      <c r="C673" s="10"/>
      <c r="D673" s="21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B674" s="6"/>
      <c r="C674" s="10"/>
      <c r="D674" s="21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B675" s="6"/>
      <c r="C675" s="10"/>
      <c r="D675" s="21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B676" s="6"/>
      <c r="C676" s="10"/>
      <c r="D676" s="21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B677" s="6"/>
      <c r="C677" s="10"/>
      <c r="D677" s="21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B678" s="6"/>
      <c r="C678" s="10"/>
      <c r="D678" s="21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B679" s="6"/>
      <c r="C679" s="10"/>
      <c r="D679" s="21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B680" s="6"/>
      <c r="C680" s="10"/>
      <c r="D680" s="21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B681" s="6"/>
      <c r="C681" s="10"/>
      <c r="D681" s="21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B682" s="6"/>
      <c r="C682" s="10"/>
      <c r="D682" s="21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B683" s="6"/>
      <c r="C683" s="10"/>
      <c r="D683" s="21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B684" s="6"/>
      <c r="C684" s="10"/>
      <c r="D684" s="21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B685" s="6"/>
      <c r="C685" s="10"/>
      <c r="D685" s="21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B686" s="6"/>
      <c r="C686" s="10"/>
      <c r="D686" s="21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B687" s="6"/>
      <c r="C687" s="10"/>
      <c r="D687" s="21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B688" s="6"/>
      <c r="C688" s="10"/>
      <c r="D688" s="21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B689" s="6"/>
      <c r="C689" s="10"/>
      <c r="D689" s="21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B690" s="6"/>
      <c r="C690" s="10"/>
      <c r="D690" s="21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B691" s="6"/>
      <c r="C691" s="10"/>
      <c r="D691" s="21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B692" s="6"/>
      <c r="C692" s="10"/>
      <c r="D692" s="21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B693" s="6"/>
      <c r="C693" s="10"/>
      <c r="D693" s="21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B694" s="6"/>
      <c r="C694" s="10"/>
      <c r="D694" s="21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B695" s="6"/>
      <c r="C695" s="10"/>
      <c r="D695" s="21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B696" s="6"/>
      <c r="C696" s="10"/>
      <c r="D696" s="21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B697" s="6"/>
      <c r="C697" s="10"/>
      <c r="D697" s="21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B698" s="6"/>
      <c r="C698" s="10"/>
      <c r="D698" s="21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B699" s="6"/>
      <c r="C699" s="10"/>
      <c r="D699" s="21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B700" s="6"/>
      <c r="C700" s="10"/>
      <c r="D700" s="21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B701" s="6"/>
      <c r="C701" s="10"/>
      <c r="D701" s="21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B702" s="6"/>
      <c r="C702" s="10"/>
      <c r="D702" s="21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B703" s="6"/>
      <c r="C703" s="10"/>
      <c r="D703" s="21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B704" s="6"/>
      <c r="C704" s="10"/>
      <c r="D704" s="21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B705" s="6"/>
      <c r="C705" s="10"/>
      <c r="D705" s="21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B706" s="6"/>
      <c r="C706" s="10"/>
      <c r="D706" s="21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B707" s="6"/>
      <c r="C707" s="10"/>
      <c r="D707" s="21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B708" s="6"/>
      <c r="C708" s="10"/>
      <c r="D708" s="21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B709" s="6"/>
      <c r="C709" s="10"/>
      <c r="D709" s="21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B710" s="6"/>
      <c r="C710" s="10"/>
      <c r="D710" s="21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B711" s="6"/>
      <c r="C711" s="10"/>
      <c r="D711" s="21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B712" s="6"/>
      <c r="C712" s="10"/>
      <c r="D712" s="21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B713" s="6"/>
      <c r="C713" s="10"/>
      <c r="D713" s="21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B714" s="6"/>
      <c r="C714" s="10"/>
      <c r="D714" s="21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B715" s="6"/>
      <c r="C715" s="10"/>
      <c r="D715" s="21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B716" s="6"/>
      <c r="C716" s="10"/>
      <c r="D716" s="21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B717" s="6"/>
      <c r="C717" s="10"/>
      <c r="D717" s="21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B718" s="6"/>
      <c r="C718" s="10"/>
      <c r="D718" s="21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B719" s="6"/>
      <c r="C719" s="10"/>
      <c r="D719" s="21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B720" s="6"/>
      <c r="C720" s="10"/>
      <c r="D720" s="21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B721" s="6"/>
      <c r="C721" s="10"/>
      <c r="D721" s="21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B722" s="6"/>
      <c r="C722" s="10"/>
      <c r="D722" s="21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B723" s="6"/>
      <c r="C723" s="10"/>
      <c r="D723" s="21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B724" s="6"/>
      <c r="C724" s="10"/>
      <c r="D724" s="21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B725" s="6"/>
      <c r="C725" s="10"/>
      <c r="D725" s="21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B726" s="6"/>
      <c r="C726" s="10"/>
      <c r="D726" s="21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B727" s="6"/>
      <c r="C727" s="10"/>
      <c r="D727" s="21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B728" s="6"/>
      <c r="C728" s="10"/>
      <c r="D728" s="21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B729" s="6"/>
      <c r="C729" s="10"/>
      <c r="D729" s="21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B730" s="6"/>
      <c r="C730" s="10"/>
      <c r="D730" s="21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B731" s="6"/>
      <c r="C731" s="10"/>
      <c r="D731" s="21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B732" s="6"/>
      <c r="C732" s="10"/>
      <c r="D732" s="21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B733" s="6"/>
      <c r="C733" s="10"/>
      <c r="D733" s="21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B734" s="6"/>
      <c r="C734" s="10"/>
      <c r="D734" s="21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B735" s="6"/>
      <c r="C735" s="10"/>
      <c r="D735" s="21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B736" s="6"/>
      <c r="C736" s="10"/>
      <c r="D736" s="21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B737" s="6"/>
      <c r="C737" s="10"/>
      <c r="D737" s="21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B738" s="6"/>
      <c r="C738" s="10"/>
      <c r="D738" s="21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B739" s="6"/>
      <c r="C739" s="10"/>
      <c r="D739" s="21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B740" s="6"/>
      <c r="C740" s="10"/>
      <c r="D740" s="21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B741" s="6"/>
      <c r="C741" s="10"/>
      <c r="D741" s="21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B742" s="6"/>
      <c r="C742" s="10"/>
      <c r="D742" s="21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B743" s="6"/>
      <c r="C743" s="10"/>
      <c r="D743" s="21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B744" s="6"/>
      <c r="C744" s="10"/>
      <c r="D744" s="21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B745" s="6"/>
      <c r="C745" s="10"/>
      <c r="D745" s="21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B746" s="6"/>
      <c r="C746" s="10"/>
      <c r="D746" s="21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B747" s="6"/>
      <c r="C747" s="10"/>
      <c r="D747" s="21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B748" s="6"/>
      <c r="C748" s="10"/>
      <c r="D748" s="21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B749" s="6"/>
      <c r="C749" s="10"/>
      <c r="D749" s="21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B750" s="6"/>
      <c r="C750" s="10"/>
      <c r="D750" s="21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B751" s="6"/>
      <c r="C751" s="10"/>
      <c r="D751" s="21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B752" s="6"/>
      <c r="C752" s="10"/>
      <c r="D752" s="21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B753" s="6"/>
      <c r="C753" s="10"/>
      <c r="D753" s="21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B754" s="6"/>
      <c r="C754" s="10"/>
      <c r="D754" s="21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B755" s="6"/>
      <c r="C755" s="10"/>
      <c r="D755" s="21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B756" s="6"/>
      <c r="C756" s="10"/>
      <c r="D756" s="21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B757" s="6"/>
      <c r="C757" s="10"/>
      <c r="D757" s="21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B758" s="6"/>
      <c r="C758" s="10"/>
      <c r="D758" s="21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B759" s="6"/>
      <c r="C759" s="10"/>
      <c r="D759" s="21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B760" s="6"/>
      <c r="C760" s="10"/>
      <c r="D760" s="21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B761" s="6"/>
      <c r="C761" s="10"/>
      <c r="D761" s="21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B762" s="6"/>
      <c r="C762" s="10"/>
      <c r="D762" s="21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B763" s="6"/>
      <c r="C763" s="10"/>
      <c r="D763" s="21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B764" s="6"/>
      <c r="C764" s="10"/>
      <c r="D764" s="21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B765" s="6"/>
      <c r="C765" s="10"/>
      <c r="D765" s="21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B766" s="6"/>
      <c r="C766" s="10"/>
      <c r="D766" s="21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B767" s="6"/>
      <c r="C767" s="10"/>
      <c r="D767" s="21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B768" s="6"/>
      <c r="C768" s="10"/>
      <c r="D768" s="21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B769" s="6"/>
      <c r="C769" s="10"/>
      <c r="D769" s="21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B770" s="6"/>
      <c r="C770" s="10"/>
      <c r="D770" s="21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B771" s="6"/>
      <c r="C771" s="10"/>
      <c r="D771" s="21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B772" s="6"/>
      <c r="C772" s="10"/>
      <c r="D772" s="21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B773" s="6"/>
      <c r="C773" s="10"/>
      <c r="D773" s="21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B774" s="6"/>
      <c r="C774" s="10"/>
      <c r="D774" s="21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B775" s="6"/>
      <c r="C775" s="10"/>
      <c r="D775" s="21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B776" s="6"/>
      <c r="C776" s="10"/>
      <c r="D776" s="21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B777" s="6"/>
      <c r="C777" s="10"/>
      <c r="D777" s="21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B778" s="6"/>
      <c r="C778" s="10"/>
      <c r="D778" s="21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B779" s="6"/>
      <c r="C779" s="10"/>
      <c r="D779" s="21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B780" s="6"/>
      <c r="C780" s="10"/>
      <c r="D780" s="21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B781" s="6"/>
      <c r="C781" s="10"/>
      <c r="D781" s="21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B782" s="6"/>
      <c r="C782" s="10"/>
      <c r="D782" s="21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B783" s="6"/>
      <c r="C783" s="10"/>
      <c r="D783" s="21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B784" s="6"/>
      <c r="C784" s="10"/>
      <c r="D784" s="21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B785" s="6"/>
      <c r="C785" s="10"/>
      <c r="D785" s="21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B786" s="6"/>
      <c r="C786" s="10"/>
      <c r="D786" s="21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B787" s="6"/>
      <c r="C787" s="10"/>
      <c r="D787" s="21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B788" s="6"/>
      <c r="C788" s="10"/>
      <c r="D788" s="21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B789" s="6"/>
      <c r="C789" s="10"/>
      <c r="D789" s="21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B790" s="6"/>
      <c r="C790" s="10"/>
      <c r="D790" s="21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B791" s="6"/>
      <c r="C791" s="10"/>
      <c r="D791" s="21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B792" s="6"/>
      <c r="C792" s="10"/>
      <c r="D792" s="21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B793" s="6"/>
      <c r="C793" s="10"/>
      <c r="D793" s="21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B794" s="6"/>
      <c r="C794" s="10"/>
      <c r="D794" s="21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B795" s="6"/>
      <c r="C795" s="10"/>
      <c r="D795" s="21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B796" s="6"/>
      <c r="C796" s="10"/>
      <c r="D796" s="21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B797" s="6"/>
      <c r="C797" s="10"/>
      <c r="D797" s="21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B798" s="6"/>
      <c r="C798" s="10"/>
      <c r="D798" s="21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B799" s="6"/>
      <c r="C799" s="10"/>
      <c r="D799" s="21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B800" s="6"/>
      <c r="C800" s="10"/>
      <c r="D800" s="21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B801" s="6"/>
      <c r="C801" s="10"/>
      <c r="D801" s="21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B802" s="6"/>
      <c r="C802" s="10"/>
      <c r="D802" s="21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B803" s="6"/>
      <c r="C803" s="10"/>
      <c r="D803" s="21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B804" s="6"/>
      <c r="C804" s="10"/>
      <c r="D804" s="21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B805" s="6"/>
      <c r="C805" s="10"/>
      <c r="D805" s="21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B806" s="6"/>
      <c r="C806" s="10"/>
      <c r="D806" s="21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B807" s="6"/>
      <c r="C807" s="10"/>
      <c r="D807" s="21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B808" s="6"/>
      <c r="C808" s="10"/>
      <c r="D808" s="21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B809" s="6"/>
      <c r="C809" s="10"/>
      <c r="D809" s="21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B810" s="6"/>
      <c r="C810" s="10"/>
      <c r="D810" s="21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B811" s="6"/>
      <c r="C811" s="10"/>
      <c r="D811" s="21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B812" s="6"/>
      <c r="C812" s="10"/>
      <c r="D812" s="21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B813" s="6"/>
      <c r="C813" s="10"/>
      <c r="D813" s="21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B814" s="6"/>
      <c r="C814" s="10"/>
      <c r="D814" s="21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B815" s="6"/>
      <c r="C815" s="10"/>
      <c r="D815" s="21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B816" s="6"/>
      <c r="C816" s="10"/>
      <c r="D816" s="21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B817" s="6"/>
      <c r="C817" s="10"/>
      <c r="D817" s="21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B818" s="6"/>
      <c r="C818" s="10"/>
      <c r="D818" s="21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B819" s="6"/>
      <c r="C819" s="10"/>
      <c r="D819" s="21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B820" s="6"/>
      <c r="C820" s="10"/>
      <c r="D820" s="21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B821" s="6"/>
      <c r="C821" s="10"/>
      <c r="D821" s="21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B822" s="6"/>
      <c r="C822" s="10"/>
      <c r="D822" s="21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B823" s="6"/>
      <c r="C823" s="10"/>
      <c r="D823" s="21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B824" s="6"/>
      <c r="C824" s="10"/>
      <c r="D824" s="21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B825" s="6"/>
      <c r="C825" s="10"/>
      <c r="D825" s="21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B826" s="6"/>
      <c r="C826" s="10"/>
      <c r="D826" s="21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B827" s="6"/>
      <c r="C827" s="10"/>
      <c r="D827" s="21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B828" s="6"/>
      <c r="C828" s="10"/>
      <c r="D828" s="21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B829" s="6"/>
      <c r="C829" s="10"/>
      <c r="D829" s="21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B830" s="6"/>
      <c r="C830" s="10"/>
      <c r="D830" s="21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B831" s="6"/>
      <c r="C831" s="10"/>
      <c r="D831" s="21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B832" s="6"/>
      <c r="C832" s="10"/>
      <c r="D832" s="21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B833" s="6"/>
      <c r="C833" s="10"/>
      <c r="D833" s="21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B834" s="6"/>
      <c r="C834" s="10"/>
      <c r="D834" s="21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B835" s="6"/>
      <c r="C835" s="10"/>
      <c r="D835" s="21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B836" s="6"/>
      <c r="C836" s="10"/>
      <c r="D836" s="21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B837" s="6"/>
      <c r="C837" s="10"/>
      <c r="D837" s="21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B838" s="6"/>
      <c r="C838" s="10"/>
      <c r="D838" s="21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B839" s="6"/>
      <c r="C839" s="10"/>
      <c r="D839" s="21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B840" s="6"/>
      <c r="C840" s="10"/>
      <c r="D840" s="21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B841" s="6"/>
      <c r="C841" s="10"/>
      <c r="D841" s="21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B842" s="6"/>
      <c r="C842" s="10"/>
      <c r="D842" s="21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B843" s="6"/>
      <c r="C843" s="10"/>
      <c r="D843" s="21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B844" s="6"/>
      <c r="C844" s="10"/>
      <c r="D844" s="21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B845" s="6"/>
      <c r="C845" s="10"/>
      <c r="D845" s="21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B846" s="6"/>
      <c r="C846" s="10"/>
      <c r="D846" s="21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B847" s="6"/>
      <c r="C847" s="10"/>
      <c r="D847" s="21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B848" s="6"/>
      <c r="C848" s="10"/>
      <c r="D848" s="21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B849" s="6"/>
      <c r="C849" s="10"/>
      <c r="D849" s="21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B850" s="6"/>
      <c r="C850" s="10"/>
      <c r="D850" s="21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B851" s="6"/>
      <c r="C851" s="10"/>
      <c r="D851" s="21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B852" s="6"/>
      <c r="C852" s="10"/>
      <c r="D852" s="21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B853" s="6"/>
      <c r="C853" s="10"/>
      <c r="D853" s="21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B854" s="6"/>
      <c r="C854" s="10"/>
      <c r="D854" s="21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B855" s="6"/>
      <c r="C855" s="10"/>
      <c r="D855" s="21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B856" s="6"/>
      <c r="C856" s="10"/>
      <c r="D856" s="21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B857" s="6"/>
      <c r="C857" s="10"/>
      <c r="D857" s="21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B858" s="6"/>
      <c r="C858" s="10"/>
      <c r="D858" s="21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B859" s="6"/>
      <c r="C859" s="10"/>
      <c r="D859" s="21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B860" s="6"/>
      <c r="C860" s="10"/>
      <c r="D860" s="21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B861" s="6"/>
      <c r="C861" s="10"/>
      <c r="D861" s="21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B862" s="6"/>
      <c r="C862" s="10"/>
      <c r="D862" s="21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B863" s="6"/>
      <c r="C863" s="10"/>
      <c r="D863" s="21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B864" s="6"/>
      <c r="C864" s="10"/>
      <c r="D864" s="21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B865" s="6"/>
      <c r="C865" s="10"/>
      <c r="D865" s="21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B866" s="6"/>
      <c r="C866" s="10"/>
      <c r="D866" s="21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B867" s="6"/>
      <c r="C867" s="10"/>
      <c r="D867" s="21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B868" s="6"/>
      <c r="C868" s="10"/>
      <c r="D868" s="21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B869" s="6"/>
      <c r="C869" s="10"/>
      <c r="D869" s="21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B870" s="6"/>
      <c r="C870" s="10"/>
      <c r="D870" s="21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B871" s="6"/>
      <c r="C871" s="10"/>
      <c r="D871" s="21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B872" s="6"/>
      <c r="C872" s="10"/>
      <c r="D872" s="21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B873" s="6"/>
      <c r="C873" s="10"/>
      <c r="D873" s="21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B874" s="6"/>
      <c r="C874" s="10"/>
      <c r="D874" s="21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B875" s="6"/>
      <c r="C875" s="10"/>
      <c r="D875" s="21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B876" s="6"/>
      <c r="C876" s="10"/>
      <c r="D876" s="21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B877" s="6"/>
      <c r="C877" s="10"/>
      <c r="D877" s="21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B878" s="6"/>
      <c r="C878" s="10"/>
      <c r="D878" s="21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B879" s="6"/>
      <c r="C879" s="10"/>
      <c r="D879" s="21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B880" s="6"/>
      <c r="C880" s="10"/>
      <c r="D880" s="21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B881" s="6"/>
      <c r="C881" s="10"/>
      <c r="D881" s="21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B882" s="6"/>
      <c r="C882" s="10"/>
      <c r="D882" s="21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B883" s="6"/>
      <c r="C883" s="10"/>
      <c r="D883" s="21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B884" s="6"/>
      <c r="C884" s="10"/>
      <c r="D884" s="21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B885" s="6"/>
      <c r="C885" s="10"/>
      <c r="D885" s="21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B886" s="6"/>
      <c r="C886" s="10"/>
      <c r="D886" s="21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B887" s="6"/>
      <c r="C887" s="10"/>
      <c r="D887" s="21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B888" s="6"/>
      <c r="C888" s="10"/>
      <c r="D888" s="21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B889" s="6"/>
      <c r="C889" s="10"/>
      <c r="D889" s="21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B890" s="6"/>
      <c r="C890" s="10"/>
      <c r="D890" s="21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B891" s="6"/>
      <c r="C891" s="10"/>
      <c r="D891" s="21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B892" s="6"/>
      <c r="C892" s="10"/>
      <c r="D892" s="21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B893" s="6"/>
      <c r="C893" s="10"/>
      <c r="D893" s="21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B894" s="6"/>
      <c r="C894" s="10"/>
      <c r="D894" s="21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B895" s="6"/>
      <c r="C895" s="10"/>
      <c r="D895" s="21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B896" s="6"/>
      <c r="C896" s="10"/>
      <c r="D896" s="21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B897" s="6"/>
      <c r="C897" s="10"/>
      <c r="D897" s="21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B898" s="6"/>
      <c r="C898" s="10"/>
      <c r="D898" s="21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B899" s="6"/>
      <c r="C899" s="10"/>
      <c r="D899" s="21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B900" s="6"/>
      <c r="C900" s="10"/>
      <c r="D900" s="21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B901" s="6"/>
      <c r="C901" s="10"/>
      <c r="D901" s="21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B902" s="6"/>
      <c r="C902" s="10"/>
      <c r="D902" s="21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B903" s="6"/>
      <c r="C903" s="10"/>
      <c r="D903" s="21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B904" s="6"/>
      <c r="C904" s="10"/>
      <c r="D904" s="21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B905" s="6"/>
      <c r="C905" s="10"/>
      <c r="D905" s="21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B906" s="6"/>
      <c r="C906" s="10"/>
      <c r="D906" s="21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B907" s="6"/>
      <c r="C907" s="10"/>
      <c r="D907" s="21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B908" s="6"/>
      <c r="C908" s="10"/>
      <c r="D908" s="21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B909" s="6"/>
      <c r="C909" s="10"/>
      <c r="D909" s="21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B910" s="6"/>
      <c r="C910" s="10"/>
      <c r="D910" s="21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B911" s="6"/>
      <c r="C911" s="10"/>
      <c r="D911" s="21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B912" s="6"/>
      <c r="C912" s="10"/>
      <c r="D912" s="21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B913" s="6"/>
      <c r="C913" s="10"/>
      <c r="D913" s="21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B914" s="6"/>
      <c r="C914" s="10"/>
      <c r="D914" s="21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B915" s="6"/>
      <c r="C915" s="10"/>
      <c r="D915" s="21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B916" s="6"/>
      <c r="C916" s="10"/>
      <c r="D916" s="21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B917" s="6"/>
      <c r="C917" s="10"/>
      <c r="D917" s="21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B918" s="6"/>
      <c r="C918" s="10"/>
      <c r="D918" s="21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B919" s="6"/>
      <c r="C919" s="10"/>
      <c r="D919" s="21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B920" s="6"/>
      <c r="C920" s="10"/>
      <c r="D920" s="21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B921" s="6"/>
      <c r="C921" s="10"/>
      <c r="D921" s="21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B922" s="6"/>
      <c r="C922" s="10"/>
      <c r="D922" s="21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B923" s="6"/>
      <c r="C923" s="10"/>
      <c r="D923" s="21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B924" s="6"/>
      <c r="C924" s="10"/>
      <c r="D924" s="21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B925" s="6"/>
      <c r="C925" s="10"/>
      <c r="D925" s="21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B926" s="6"/>
      <c r="C926" s="10"/>
      <c r="D926" s="21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B927" s="6"/>
      <c r="C927" s="10"/>
      <c r="D927" s="21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B928" s="6"/>
      <c r="C928" s="10"/>
      <c r="D928" s="21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B929" s="6"/>
      <c r="C929" s="10"/>
      <c r="D929" s="21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B930" s="6"/>
      <c r="C930" s="10"/>
      <c r="D930" s="21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B931" s="6"/>
      <c r="C931" s="10"/>
      <c r="D931" s="21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B932" s="6"/>
      <c r="C932" s="10"/>
      <c r="D932" s="21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B933" s="6"/>
      <c r="C933" s="10"/>
      <c r="D933" s="21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B934" s="6"/>
      <c r="C934" s="10"/>
      <c r="D934" s="21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B935" s="6"/>
      <c r="C935" s="10"/>
      <c r="D935" s="21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B936" s="6"/>
      <c r="C936" s="10"/>
      <c r="D936" s="21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B937" s="6"/>
      <c r="C937" s="10"/>
      <c r="D937" s="21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B938" s="6"/>
      <c r="C938" s="10"/>
      <c r="D938" s="21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B939" s="6"/>
      <c r="C939" s="10"/>
      <c r="D939" s="21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B940" s="6"/>
      <c r="C940" s="10"/>
      <c r="D940" s="21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B941" s="6"/>
      <c r="C941" s="10"/>
      <c r="D941" s="21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B942" s="6"/>
      <c r="C942" s="10"/>
      <c r="D942" s="21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B943" s="6"/>
      <c r="C943" s="10"/>
      <c r="D943" s="21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B944" s="6"/>
      <c r="C944" s="10"/>
      <c r="D944" s="21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B945" s="6"/>
      <c r="C945" s="10"/>
      <c r="D945" s="21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B946" s="6"/>
      <c r="C946" s="10"/>
      <c r="D946" s="21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B947" s="6"/>
      <c r="C947" s="10"/>
      <c r="D947" s="21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B948" s="6"/>
      <c r="C948" s="10"/>
      <c r="D948" s="21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B949" s="6"/>
      <c r="C949" s="10"/>
      <c r="D949" s="21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B950" s="6"/>
      <c r="C950" s="10"/>
      <c r="D950" s="21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B951" s="6"/>
      <c r="C951" s="10"/>
      <c r="D951" s="21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B952" s="6"/>
      <c r="C952" s="10"/>
      <c r="D952" s="21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B953" s="6"/>
      <c r="C953" s="10"/>
      <c r="D953" s="21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B954" s="6"/>
      <c r="C954" s="10"/>
      <c r="D954" s="21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B955" s="6"/>
      <c r="C955" s="10"/>
      <c r="D955" s="21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B956" s="6"/>
      <c r="C956" s="10"/>
      <c r="D956" s="21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B957" s="6"/>
      <c r="C957" s="10"/>
      <c r="D957" s="21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B958" s="6"/>
      <c r="C958" s="10"/>
      <c r="D958" s="21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B959" s="6"/>
      <c r="C959" s="10"/>
      <c r="D959" s="21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B960" s="6"/>
      <c r="C960" s="10"/>
      <c r="D960" s="21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B961" s="6"/>
      <c r="C961" s="10"/>
      <c r="D961" s="21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B962" s="6"/>
      <c r="C962" s="10"/>
      <c r="D962" s="21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B963" s="6"/>
      <c r="C963" s="10"/>
      <c r="D963" s="21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B964" s="6"/>
      <c r="C964" s="10"/>
      <c r="D964" s="21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B965" s="6"/>
      <c r="C965" s="10"/>
      <c r="D965" s="21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B966" s="6"/>
      <c r="C966" s="10"/>
      <c r="D966" s="21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B967" s="6"/>
      <c r="C967" s="10"/>
      <c r="D967" s="21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B968" s="6"/>
      <c r="C968" s="10"/>
      <c r="D968" s="21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B969" s="6"/>
      <c r="C969" s="10"/>
      <c r="D969" s="21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B970" s="6"/>
      <c r="C970" s="10"/>
      <c r="D970" s="21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B971" s="6"/>
      <c r="C971" s="10"/>
      <c r="D971" s="21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B972" s="6"/>
      <c r="C972" s="10"/>
      <c r="D972" s="21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B973" s="6"/>
      <c r="C973" s="10"/>
      <c r="D973" s="21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B974" s="6"/>
      <c r="C974" s="10"/>
      <c r="D974" s="21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B975" s="6"/>
      <c r="C975" s="10"/>
      <c r="D975" s="21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B976" s="6"/>
      <c r="C976" s="10"/>
      <c r="D976" s="21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B977" s="6"/>
      <c r="C977" s="10"/>
      <c r="D977" s="21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B978" s="6"/>
      <c r="C978" s="10"/>
      <c r="D978" s="21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B979" s="6"/>
      <c r="C979" s="10"/>
      <c r="D979" s="21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B980" s="6"/>
      <c r="C980" s="10"/>
      <c r="D980" s="21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B981" s="6"/>
      <c r="C981" s="10"/>
      <c r="D981" s="21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B982" s="6"/>
      <c r="C982" s="10"/>
      <c r="D982" s="21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B983" s="6"/>
      <c r="C983" s="10"/>
      <c r="D983" s="21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B984" s="6"/>
      <c r="C984" s="10"/>
      <c r="D984" s="21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B985" s="6"/>
      <c r="C985" s="10"/>
      <c r="D985" s="21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B986" s="6"/>
      <c r="C986" s="10"/>
      <c r="D986" s="21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B987" s="6"/>
      <c r="C987" s="10"/>
      <c r="D987" s="21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B988" s="6"/>
      <c r="C988" s="10"/>
      <c r="D988" s="21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B989" s="6"/>
      <c r="C989" s="10"/>
      <c r="D989" s="21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B990" s="6"/>
      <c r="C990" s="10"/>
      <c r="D990" s="21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B991" s="6"/>
      <c r="C991" s="10"/>
      <c r="D991" s="21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B992" s="6"/>
      <c r="C992" s="10"/>
      <c r="D992" s="21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B993" s="6"/>
      <c r="C993" s="10"/>
      <c r="D993" s="21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B994" s="6"/>
      <c r="C994" s="10"/>
      <c r="D994" s="21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B995" s="6"/>
      <c r="C995" s="10"/>
      <c r="D995" s="21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B996" s="6"/>
      <c r="C996" s="10"/>
      <c r="D996" s="21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B997" s="6"/>
      <c r="C997" s="10"/>
      <c r="D997" s="21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B998" s="6"/>
      <c r="C998" s="10"/>
      <c r="D998" s="21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B999" s="6"/>
      <c r="C999" s="10"/>
      <c r="D999" s="21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B1000" s="6"/>
      <c r="C1000" s="10"/>
      <c r="D1000" s="21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B1001" s="6"/>
      <c r="C1001" s="10"/>
      <c r="D1001" s="21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</sheetData>
  <hyperlinks>
    <hyperlink r:id="rId1" ref="C1"/>
    <hyperlink r:id="rId2" ref="A2"/>
    <hyperlink r:id="rId3" location="28" ref="C2"/>
    <hyperlink r:id="rId4" ref="A3"/>
    <hyperlink r:id="rId5" ref="A4"/>
    <hyperlink r:id="rId6" location="29" ref="C4"/>
    <hyperlink r:id="rId7" ref="A5"/>
    <hyperlink r:id="rId8" location="19" ref="C5"/>
    <hyperlink r:id="rId9" ref="A6"/>
    <hyperlink r:id="rId10" ref="A7"/>
    <hyperlink r:id="rId11" ref="C7"/>
    <hyperlink r:id="rId12" ref="A8"/>
    <hyperlink r:id="rId13" ref="C8"/>
    <hyperlink r:id="rId14" ref="A9"/>
    <hyperlink r:id="rId15" location="25" ref="C9"/>
    <hyperlink r:id="rId16" ref="A10"/>
    <hyperlink r:id="rId17" location="41" ref="C10"/>
    <hyperlink r:id="rId18" ref="A11"/>
    <hyperlink r:id="rId19" location="7" ref="C11"/>
    <hyperlink r:id="rId20" ref="A12"/>
    <hyperlink r:id="rId21" location="8" ref="C12"/>
    <hyperlink r:id="rId22" ref="A13"/>
    <hyperlink r:id="rId23" location="10" ref="C13"/>
    <hyperlink r:id="rId24" ref="A14"/>
    <hyperlink r:id="rId25" location="8" ref="C14"/>
    <hyperlink r:id="rId26" ref="A15"/>
    <hyperlink r:id="rId27" ref="C15"/>
    <hyperlink r:id="rId28" ref="A16"/>
    <hyperlink r:id="rId29" ref="C16"/>
    <hyperlink r:id="rId30" ref="A17"/>
    <hyperlink r:id="rId31" ref="C17"/>
    <hyperlink r:id="rId32" ref="A18"/>
    <hyperlink r:id="rId33" ref="C18"/>
    <hyperlink r:id="rId34" ref="A19"/>
    <hyperlink r:id="rId35" ref="C19"/>
    <hyperlink r:id="rId36" ref="A20"/>
    <hyperlink r:id="rId37" ref="C20"/>
    <hyperlink r:id="rId38" ref="A21"/>
    <hyperlink r:id="rId39" ref="C21"/>
    <hyperlink r:id="rId40" ref="A22"/>
    <hyperlink r:id="rId41" location="11" ref="C22"/>
    <hyperlink r:id="rId42" ref="A23"/>
    <hyperlink r:id="rId43" ref="C23"/>
    <hyperlink r:id="rId44" ref="A24"/>
    <hyperlink r:id="rId45" location="21" ref="C24"/>
    <hyperlink r:id="rId46" ref="A25"/>
    <hyperlink r:id="rId47" ref="C25"/>
    <hyperlink r:id="rId48" ref="A26"/>
    <hyperlink r:id="rId49" ref="C26"/>
    <hyperlink r:id="rId50" ref="A27"/>
    <hyperlink r:id="rId51" ref="C27"/>
    <hyperlink r:id="rId52" ref="A28"/>
    <hyperlink r:id="rId53" ref="C28"/>
    <hyperlink r:id="rId54" ref="A29"/>
    <hyperlink r:id="rId55" location="10" ref="C29"/>
    <hyperlink r:id="rId56" ref="A30"/>
    <hyperlink r:id="rId57" location="26" ref="C30"/>
    <hyperlink r:id="rId58" ref="A31"/>
    <hyperlink r:id="rId59" location="11" ref="C31"/>
    <hyperlink r:id="rId60" ref="A32"/>
    <hyperlink r:id="rId61" location="6" ref="C32"/>
    <hyperlink r:id="rId62" ref="A33"/>
    <hyperlink r:id="rId63" location="25" ref="C33"/>
    <hyperlink r:id="rId64" ref="A34"/>
    <hyperlink r:id="rId65" ref="C34"/>
    <hyperlink r:id="rId66" ref="A35"/>
    <hyperlink r:id="rId67" ref="C35"/>
    <hyperlink r:id="rId68" ref="A36"/>
    <hyperlink r:id="rId69" ref="C36"/>
    <hyperlink r:id="rId70" ref="A37"/>
    <hyperlink r:id="rId71" ref="C37"/>
    <hyperlink r:id="rId72" ref="A38"/>
    <hyperlink r:id="rId73" ref="C38"/>
    <hyperlink r:id="rId74" ref="A39"/>
    <hyperlink r:id="rId75" ref="C39"/>
    <hyperlink r:id="rId76" ref="A40"/>
    <hyperlink r:id="rId77" ref="C40"/>
    <hyperlink r:id="rId78" ref="A41"/>
    <hyperlink r:id="rId79" ref="C41"/>
    <hyperlink r:id="rId80" ref="A42"/>
    <hyperlink r:id="rId81" ref="C42"/>
    <hyperlink r:id="rId82" ref="A43"/>
    <hyperlink r:id="rId83" location="4" ref="C43"/>
    <hyperlink r:id="rId84" ref="A44"/>
    <hyperlink r:id="rId85" ref="C44"/>
    <hyperlink r:id="rId86" ref="A45"/>
    <hyperlink r:id="rId87" ref="C45"/>
    <hyperlink r:id="rId88" ref="A46"/>
    <hyperlink r:id="rId89" ref="C46"/>
    <hyperlink r:id="rId90" ref="A47"/>
    <hyperlink r:id="rId91" ref="C47"/>
    <hyperlink r:id="rId92" ref="A48"/>
    <hyperlink r:id="rId93" ref="C48"/>
    <hyperlink r:id="rId94" ref="A49"/>
    <hyperlink r:id="rId95" ref="C49"/>
    <hyperlink r:id="rId96" ref="A50"/>
    <hyperlink r:id="rId97" ref="A51"/>
    <hyperlink r:id="rId98" ref="C51"/>
    <hyperlink r:id="rId99" ref="A52"/>
    <hyperlink r:id="rId100" ref="C52"/>
    <hyperlink r:id="rId101" ref="A53"/>
    <hyperlink r:id="rId102" ref="B53"/>
    <hyperlink r:id="rId103" ref="C53"/>
    <hyperlink r:id="rId104" ref="A54"/>
    <hyperlink r:id="rId105" ref="C54"/>
  </hyperlinks>
  <drawing r:id="rId106"/>
</worksheet>
</file>